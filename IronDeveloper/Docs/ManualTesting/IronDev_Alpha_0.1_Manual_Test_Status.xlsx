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a3156500d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94ae7f217914b92"/>
    <x:sheet xmlns:r="http://schemas.openxmlformats.org/officeDocument/2006/relationships" name="TestMatrix" sheetId="2" r:id="R0fc2c1c68fb54e1b"/>
    <x:sheet xmlns:r="http://schemas.openxmlformats.org/officeDocument/2006/relationships" name="Workflow" sheetId="3" r:id="Ref89a5e587084129"/>
    <x:sheet xmlns:r="http://schemas.openxmlformats.org/officeDocument/2006/relationships" name="StaleIndex" sheetId="4" r:id="Reb1659920e944913"/>
    <x:sheet xmlns:r="http://schemas.openxmlformats.org/officeDocument/2006/relationships" name="DefectLog" sheetId="5" r:id="R0c1df7b6417d4361"/>
    <x:sheet xmlns:r="http://schemas.openxmlformats.org/officeDocument/2006/relationships" name="Signoff" sheetId="6" r:id="R6cba5090981f49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8"/>
      <x:color rgb="FFFFFF"/>
      <x:name val="Carlito"/>
    </x:font>
    <x:font>
      <x:sz val="11"/>
      <x:color rgb="37415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1F2937"/>
      </x:patternFill>
    </x:fill>
    <x:fill>
      <x:patternFill patternType="solid">
        <x:fgColor rgb="F9FAFB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9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D4ED8"/>
      </x:font>
      <x:fill>
        <x:patternFill patternType="solid">
          <x:bgColor rgb="DBEAFE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df565f80b74868" /><Relationship Type="http://schemas.openxmlformats.org/officeDocument/2006/relationships/theme" Target="/xl/theme/theme1.xml" Id="R0e2f743f6b964039" /><Relationship Type="http://schemas.openxmlformats.org/officeDocument/2006/relationships/sharedStrings" Target="/xl/sharedStrings.xml" Id="R16e4028565e24e0b" /><Relationship Type="http://schemas.openxmlformats.org/officeDocument/2006/relationships/worksheet" Target="/xl/worksheets/sheet1.xml" Id="R294ae7f217914b92" /><Relationship Type="http://schemas.openxmlformats.org/officeDocument/2006/relationships/worksheet" Target="/xl/worksheets/sheet2.xml" Id="R0fc2c1c68fb54e1b" /><Relationship Type="http://schemas.openxmlformats.org/officeDocument/2006/relationships/worksheet" Target="/xl/worksheets/sheet3.xml" Id="Ref89a5e587084129" /><Relationship Type="http://schemas.openxmlformats.org/officeDocument/2006/relationships/worksheet" Target="/xl/worksheets/sheet4.xml" Id="Reb1659920e944913" /><Relationship Type="http://schemas.openxmlformats.org/officeDocument/2006/relationships/worksheet" Target="/xl/worksheets/sheet5.xml" Id="R0c1df7b6417d4361" /><Relationship Type="http://schemas.openxmlformats.org/officeDocument/2006/relationships/worksheet" Target="/xl/worksheets/sheet6.xml" Id="R6cba5090981f49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2b2404b3bfe45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Manual Test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'Dashboard'!$H$5:$H$9</c:f>
              <c:strCache>
                <c:ptCount val="0"/>
              </c:strCache>
            </c:strRef>
          </c:cat>
          <c:val>
            <c:numRef>
              <c:f>'Dashboard'!$I$5:$I$9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10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2b2404b3bfe45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ualTestMatrix" displayName="ManualTestMatrix" ref="A4:L59" headerRowCount="1">
  <x:tableColumns count="12">
    <x:tableColumn id="1" name="ID"/>
    <x:tableColumn id="2" name="Area"/>
    <x:tableColumn id="3" name="Scenario"/>
    <x:tableColumn id="4" name="Preconditions"/>
    <x:tableColumn id="5" name="Steps"/>
    <x:tableColumn id="6" name="Expected Result"/>
    <x:tableColumn id="7" name="Priority"/>
    <x:tableColumn id="8" name="Status"/>
    <x:tableColumn id="9" name="Owner"/>
    <x:tableColumn id="10" name="Evidence Link"/>
    <x:tableColumn id="11" name="Last Run"/>
    <x:tableColumn id="12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WorkflowStatus" displayName="WorkflowStatus" ref="A4:I10" headerRowCount="1">
  <x:tableColumns count="9">
    <x:tableColumn id="1" name="ID"/>
    <x:tableColumn id="2" name="Workflow"/>
    <x:tableColumn id="3" name="Execution Path"/>
    <x:tableColumn id="4" name="Expected Outcome"/>
    <x:tableColumn id="5" name="Priority"/>
    <x:tableColumn id="6" name="Status"/>
    <x:tableColumn id="7" name="Owner"/>
    <x:tableColumn id="8" name="Evidence Link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taleIndexRegression" displayName="StaleIndexRegression" ref="A4:I11" headerRowCount="1">
  <x:tableColumns count="9">
    <x:tableColumn id="1" name="ID"/>
    <x:tableColumn id="2" name="Check"/>
    <x:tableColumn id="3" name="Precondition"/>
    <x:tableColumn id="4" name="Steps"/>
    <x:tableColumn id="5" name="Expected Result"/>
    <x:tableColumn id="6" name="Status"/>
    <x:tableColumn id="7" name="Owner"/>
    <x:tableColumn id="8" name="Evidence Link"/>
    <x:tableColumn id="9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efectLog" displayName="DefectLog" ref="A4:J9" headerRowCount="1">
  <x:tableColumns count="10">
    <x:tableColumn id="1" name="ID"/>
    <x:tableColumn id="2" name="Found In Test"/>
    <x:tableColumn id="3" name="Severity"/>
    <x:tableColumn id="4" name="Title"/>
    <x:tableColumn id="5" name="Repro Steps"/>
    <x:tableColumn id="6" name="Expected"/>
    <x:tableColumn id="7" name="Actual"/>
    <x:tableColumn id="8" name="Owner"/>
    <x:tableColumn id="9" name="Status"/>
    <x:tableColumn id="10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lphaSignoff" displayName="AlphaSignoff" ref="A4:F14" headerRowCount="1">
  <x:tableColumns count="6">
    <x:tableColumn id="1" name="Gate"/>
    <x:tableColumn id="2" name="Owner"/>
    <x:tableColumn id="3" name="Decision"/>
    <x:tableColumn id="4" name="Evidence"/>
    <x:tableColumn id="5" name="Date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b73ac42b464cd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c63b86f91b34e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5f268303304d0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98f0d156c1842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138541a7432439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307d04440343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09999084472656" hidden="0" customWidth="1"/>
    <x:col min="2" max="2" width="13.460000038146973" hidden="0" customWidth="1"/>
    <x:col min="3" max="3" width="13.460000038146973" hidden="0" customWidth="1"/>
    <x:col min="4" max="4" width="13.460000038146973" hidden="0" customWidth="1"/>
    <x:col min="5" max="5" width="13.460000038146973" hidden="0" customWidth="1"/>
    <x:col min="6" max="6" width="13.460000038146973" hidden="0" customWidth="1"/>
    <x:col min="7" max="7" width="16.149999618530273" hidden="0" customWidth="1"/>
    <x:col min="8" max="8" width="16.149999618530273" hidden="0" customWidth="1"/>
    <x:col min="9" max="9" width="16.149999618530273" hidden="0" customWidth="1"/>
    <x:col min="10" max="10" width="16.149999618530273" hidden="0" customWidth="1"/>
    <x:col min="11" max="11" width="16.149999618530273" hidden="0" customWidth="1"/>
    <x:col min="12" max="12" width="16.149999618530273" hidden="0" customWidth="1"/>
  </x:cols>
  <x:sheetData>
    <x:row r="1" ht="25.5" customHeight="1">
      <x:c r="A1" s="4" t="str">
        <x:v>IronDev Alpha 0.1 Manual Test Status</x:v>
      </x:c>
    </x:row>
    <x:row r="2" ht="31.5" customHeight="1">
      <x:c r="A2" s="7" t="str">
        <x:v>Manual test tracker for the Alpha 0.1 product spine: project setup, indexing, chat, tickets, readiness, proposals, safe apply/build/test, traceability, and stale-index recovery. Created 2026-05-17.</x:v>
      </x:c>
    </x:row>
    <x:row r="4">
      <x:c r="A4" s="12" t="str">
        <x:v>Metric</x:v>
      </x:c>
      <x:c r="B4" s="12" t="str">
        <x:v>Value</x:v>
      </x:c>
      <x:c r="D4" s="12" t="str">
        <x:v>Readiness Gate</x:v>
      </x:c>
      <x:c r="E4" s="12" t="str">
        <x:v>Formula</x:v>
      </x:c>
      <x:c r="F4" s="12" t="str">
        <x:v>Status</x:v>
      </x:c>
      <x:c r="H4" s="12" t="str">
        <x:v>Status</x:v>
      </x:c>
      <x:c r="I4" s="12" t="str">
        <x:v>Count</x:v>
      </x:c>
    </x:row>
    <x:row r="5">
      <x:c r="A5" s="14" t="str">
        <x:v>Total tests</x:v>
      </x:c>
      <x:c r="B5" s="16" t="n">
        <x:f>COUNTA(TestMatrix!A5:A205)</x:f>
        <x:v>55</x:v>
      </x:c>
      <x:c r="D5" s="17" t="str">
        <x:v>External alpha candidate</x:v>
      </x:c>
      <x:c r="E5" s="17" t="str">
        <x:v>All P0 pass, no P0 blocked/fail</x:v>
      </x:c>
      <x:c r="F5" t="str">
        <x:f>IF(COUNTIFS(TestMatrix!G:G,"P0",TestMatrix!H:H,"Fail")+COUNTIFS(TestMatrix!G:G,"P0",TestMatrix!H:H,"Blocked")=0,"Clear","Blocked")</x:f>
        <x:v>Clear</x:v>
      </x:c>
      <x:c r="H5" t="str">
        <x:v>Pass</x:v>
      </x:c>
      <x:c r="I5" t="n">
        <x:f>COUNTIF(TestMatrix!H5:H205,H5)</x:f>
        <x:v>0</x:v>
      </x:c>
    </x:row>
    <x:row r="6">
      <x:c r="A6" s="14" t="str">
        <x:v>Pass</x:v>
      </x:c>
      <x:c r="B6" s="16" t="n">
        <x:f>COUNTIF(TestMatrix!H5:H205,"Pass")</x:f>
        <x:v>0</x:v>
      </x:c>
      <x:c r="D6" s="17" t="str">
        <x:v>Stale index coverage</x:v>
      </x:c>
      <x:c r="E6" s="17" t="str">
        <x:v>All StaleIndex tests pass</x:v>
      </x:c>
      <x:c r="F6" t="str">
        <x:f>IF(COUNTIF(StaleIndex!F5:F50,"Pass")&gt;=7,"Clear","Pending")</x:f>
        <x:v>Pending</x:v>
      </x:c>
      <x:c r="H6" t="str">
        <x:v>Fail</x:v>
      </x:c>
      <x:c r="I6" t="n">
        <x:f>COUNTIF(TestMatrix!H5:H205,H6)</x:f>
        <x:v>0</x:v>
      </x:c>
    </x:row>
    <x:row r="7">
      <x:c r="A7" s="14" t="str">
        <x:v>Fail</x:v>
      </x:c>
      <x:c r="B7" s="16" t="n">
        <x:f>COUNTIF(TestMatrix!H5:H205,"Fail")</x:f>
        <x:v>0</x:v>
      </x:c>
      <x:c r="D7" s="17" t="str">
        <x:v>Traceability coverage</x:v>
      </x:c>
      <x:c r="E7" s="17" t="str">
        <x:v>Trace area has no P0 fail/block</x:v>
      </x:c>
      <x:c r="F7" t="str">
        <x:f>IF(COUNTIFS(TestMatrix!B:B,"Trace",TestMatrix!G:G,"P0",TestMatrix!H:H,"Fail")+COUNTIFS(TestMatrix!B:B,"Trace",TestMatrix!G:G,"P0",TestMatrix!H:H,"Blocked")=0,"Clear","Blocked")</x:f>
        <x:v>Clear</x:v>
      </x:c>
      <x:c r="H7" t="str">
        <x:v>Blocked</x:v>
      </x:c>
      <x:c r="I7" t="n">
        <x:f>COUNTIF(TestMatrix!H5:H205,H7)</x:f>
        <x:v>0</x:v>
      </x:c>
    </x:row>
    <x:row r="8">
      <x:c r="A8" s="14" t="str">
        <x:v>Blocked</x:v>
      </x:c>
      <x:c r="B8" s="16" t="n">
        <x:f>COUNTIF(TestMatrix!H5:H205,"Blocked")</x:f>
        <x:v>0</x:v>
      </x:c>
      <x:c r="D8" s="17" t="str">
        <x:v>Safety coverage</x:v>
      </x:c>
      <x:c r="E8" s="17" t="str">
        <x:v>Safety area has no P0 fail/block</x:v>
      </x:c>
      <x:c r="F8" t="str">
        <x:f>IF(COUNTIFS(TestMatrix!B:B,"Safety",TestMatrix!G:G,"P0",TestMatrix!H:H,"Fail")+COUNTIFS(TestMatrix!B:B,"Safety",TestMatrix!G:G,"P0",TestMatrix!H:H,"Blocked")=0,"Clear","Blocked")</x:f>
        <x:v>Clear</x:v>
      </x:c>
      <x:c r="H8" t="str">
        <x:v>In Progress</x:v>
      </x:c>
      <x:c r="I8" t="n">
        <x:f>COUNTIF(TestMatrix!H5:H205,H8)</x:f>
        <x:v>0</x:v>
      </x:c>
    </x:row>
    <x:row r="9">
      <x:c r="A9" s="14" t="str">
        <x:v>In Progress</x:v>
      </x:c>
      <x:c r="B9" s="16" t="n">
        <x:f>COUNTIF(TestMatrix!H5:H205,"In Progress")</x:f>
        <x:v>0</x:v>
      </x:c>
      <x:c r="D9" s="17" t="str">
        <x:v>UI confidence</x:v>
      </x:c>
      <x:c r="E9" s="17" t="str">
        <x:v>No P1 UI fail/block</x:v>
      </x:c>
      <x:c r="F9" t="str">
        <x:f>IF(COUNTIFS(TestMatrix!B:B,"UI/Product Feel",TestMatrix!G:G,"P1",TestMatrix!H:H,"Fail")+COUNTIFS(TestMatrix!B:B,"UI/Product Feel",TestMatrix!G:G,"P1",TestMatrix!H:H,"Blocked")=0,"Clear","Needs Review")</x:f>
        <x:v>Clear</x:v>
      </x:c>
      <x:c r="H9" t="str">
        <x:v>Not Run</x:v>
      </x:c>
      <x:c r="I9" t="n">
        <x:f>COUNTIF(TestMatrix!H5:H205,H9)</x:f>
        <x:v>55</x:v>
      </x:c>
    </x:row>
    <x:row r="10">
      <x:c r="A10" s="14" t="str">
        <x:v>Not Run</x:v>
      </x:c>
      <x:c r="B10" s="16" t="n">
        <x:f>COUNTIF(TestMatrix!H5:H205,"Not Run")</x:f>
        <x:v>55</x:v>
      </x:c>
      <x:c r="D10" s="17" t="str">
        <x:v>Overall</x:v>
      </x:c>
      <x:c r="E10" s="17" t="str">
        <x:v>Manual sign-off required</x:v>
      </x:c>
      <x:c r="F10" t="str">
        <x:v>Pending</x:v>
      </x:c>
    </x:row>
  </x:sheetData>
  <x:mergeCells>
    <x:mergeCell ref="A1:L1"/>
    <x:mergeCell ref="A2:L2"/>
  </x:mergeCells>
  <x:conditionalFormatting sqref="F5:F10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In Progress"/>
  </x:conditionalFormatting>
  <x:pageMargins left="0.7" right="0.7" top="0.75" bottom="0.75" header="0.3" footer="0.3"/>
  <x:drawing xmlns:r="http://schemas.openxmlformats.org/officeDocument/2006/relationships" r:id="R4ab73ac42b464cd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5600004196167" hidden="0" customWidth="1"/>
    <x:col min="2" max="2" width="19.520000457763672" hidden="0" customWidth="1"/>
    <x:col min="3" max="3" width="31.6299991607666" hidden="0" customWidth="1"/>
    <x:col min="4" max="4" width="34.31999969482422" hidden="0" customWidth="1"/>
    <x:col min="5" max="5" width="47.779998779296875" hidden="0" customWidth="1"/>
    <x:col min="6" max="6" width="47.779998779296875" hidden="0" customWidth="1"/>
    <x:col min="7" max="7" width="10.09000015258789" hidden="0" customWidth="1"/>
    <x:col min="8" max="8" width="14.800000190734863" hidden="0" customWidth="1"/>
    <x:col min="9" max="9" width="16.149999618530273" hidden="0" customWidth="1"/>
    <x:col min="10" max="10" width="23.549999237060547" hidden="0" customWidth="1"/>
    <x:col min="11" max="11" width="12.789999961853027" hidden="0" customWidth="1"/>
    <x:col min="12" max="12" width="34.31999969482422" hidden="0" customWidth="1"/>
  </x:cols>
  <x:sheetData>
    <x:row r="1" ht="25.5" customHeight="1">
      <x:c r="A1" s="4" t="str">
        <x:v>Comprehensive Manual Test Matrix</x:v>
      </x:c>
    </x:row>
    <x:row r="2" ht="31.5" customHeight="1">
      <x:c r="A2" s="7" t="str">
        <x:v>Update Status, Owner, Evidence Link, Last Run, and Notes during dogfood and external-alpha readiness testing.</x:v>
      </x:c>
    </x:row>
    <x:row r="4">
      <x:c r="A4" s="12" t="str">
        <x:v>ID</x:v>
      </x:c>
      <x:c r="B4" s="12" t="str">
        <x:v>Area</x:v>
      </x:c>
      <x:c r="C4" s="12" t="str">
        <x:v>Scenario</x:v>
      </x:c>
      <x:c r="D4" s="12" t="str">
        <x:v>Preconditions</x:v>
      </x:c>
      <x:c r="E4" s="12" t="str">
        <x:v>Steps</x:v>
      </x:c>
      <x:c r="F4" s="12" t="str">
        <x:v>Expected Result</x:v>
      </x:c>
      <x:c r="G4" s="12" t="str">
        <x:v>Priority</x:v>
      </x:c>
      <x:c r="H4" s="12" t="str">
        <x:v>Status</x:v>
      </x:c>
      <x:c r="I4" s="12" t="str">
        <x:v>Owner</x:v>
      </x:c>
      <x:c r="J4" s="12" t="str">
        <x:v>Evidence Link</x:v>
      </x:c>
      <x:c r="K4" s="12" t="str">
        <x:v>Last Run</x:v>
      </x:c>
      <x:c r="L4" s="12" t="str">
        <x:v>Notes</x:v>
      </x:c>
    </x:row>
    <x:row r="5">
      <x:c r="A5" s="19" t="str">
        <x:v>MT-001</x:v>
      </x:c>
      <x:c r="B5" s="19" t="str">
        <x:v>Project Wizard</x:v>
      </x:c>
      <x:c r="C5" s="19" t="str">
        <x:v>Create new project skeleton</x:v>
      </x:c>
      <x:c r="D5" s="19" t="str">
        <x:v>Fresh workspace; signed in</x:v>
      </x:c>
      <x:c r="E5" s="19" t="str">
        <x:v>Open Project Hub; create a new project; enable skeleton; confirm profile detection.</x:v>
      </x:c>
      <x:c r="F5" s="19" t="str">
        <x:v>Project is created, profile fields are populated, build/test commands are seeded, and Overview opens.</x:v>
      </x:c>
      <x:c r="G5" s="19" t="str">
        <x:v>P0</x:v>
      </x:c>
      <x:c r="H5" s="19" t="str">
        <x:v>Not Run</x:v>
      </x:c>
      <x:c r="I5" s="19" t="str"/>
      <x:c r="J5" s="19" t="str"/>
      <x:c r="K5" s="20" t="str"/>
      <x:c r="L5" s="19" t="str"/>
    </x:row>
    <x:row r="6">
      <x:c r="A6" s="19" t="str">
        <x:v>MT-002</x:v>
      </x:c>
      <x:c r="B6" s="19" t="str">
        <x:v>Project Wizard</x:v>
      </x:c>
      <x:c r="C6" s="19" t="str">
        <x:v>Import existing .NET project</x:v>
      </x:c>
      <x:c r="D6" s="19" t="str">
        <x:v>Existing BookSeller or small .NET repo</x:v>
      </x:c>
      <x:c r="E6" s="19" t="str">
        <x:v>Create/import project using existing path; do not create skeleton.</x:v>
      </x:c>
      <x:c r="F6" s="19" t="str">
        <x:v>Project opens with correct local path and no generated files are written.</x:v>
      </x:c>
      <x:c r="G6" s="19" t="str">
        <x:v>P0</x:v>
      </x:c>
      <x:c r="H6" s="19" t="str">
        <x:v>Not Run</x:v>
      </x:c>
      <x:c r="I6" s="19" t="str"/>
      <x:c r="J6" s="19" t="str"/>
      <x:c r="K6" s="20" t="str"/>
      <x:c r="L6" s="19" t="str"/>
    </x:row>
    <x:row r="7">
      <x:c r="A7" s="19" t="str">
        <x:v>MT-003</x:v>
      </x:c>
      <x:c r="B7" s="19" t="str">
        <x:v>Project Wizard</x:v>
      </x:c>
      <x:c r="C7" s="19" t="str">
        <x:v>Missing path validation</x:v>
      </x:c>
      <x:c r="D7" s="19" t="str">
        <x:v>Project path does not exist</x:v>
      </x:c>
      <x:c r="E7" s="19" t="str">
        <x:v>Attempt import without skeleton enabled.</x:v>
      </x:c>
      <x:c r="F7" s="19" t="str">
        <x:v>Creation is blocked with a clear local path validation message.</x:v>
      </x:c>
      <x:c r="G7" s="19" t="str">
        <x:v>P1</x:v>
      </x:c>
      <x:c r="H7" s="19" t="str">
        <x:v>Not Run</x:v>
      </x:c>
      <x:c r="I7" s="19" t="str"/>
      <x:c r="J7" s="19" t="str"/>
      <x:c r="K7" s="20" t="str"/>
      <x:c r="L7" s="19" t="str"/>
    </x:row>
    <x:row r="8">
      <x:c r="A8" s="19" t="str">
        <x:v>MT-004</x:v>
      </x:c>
      <x:c r="B8" s="19" t="str">
        <x:v>Project Profile</x:v>
      </x:c>
      <x:c r="C8" s="19" t="str">
        <x:v>Detect profile for .NET repo</x:v>
      </x:c>
      <x:c r="D8" s="19" t="str">
        <x:v>Imported .NET repo</x:v>
      </x:c>
      <x:c r="E8" s="19" t="str">
        <x:v>Open Project Profile; run Detect/Refresh Profile.</x:v>
      </x:c>
      <x:c r="F8" s="19" t="str">
        <x:v>Language, framework, solution file, build/test commands, safe write root, and test framework are populated or warned.</x:v>
      </x:c>
      <x:c r="G8" s="19" t="str">
        <x:v>P0</x:v>
      </x:c>
      <x:c r="H8" s="19" t="str">
        <x:v>Not Run</x:v>
      </x:c>
      <x:c r="I8" s="19" t="str"/>
      <x:c r="J8" s="19" t="str"/>
      <x:c r="K8" s="20" t="str"/>
      <x:c r="L8" s="19" t="str"/>
    </x:row>
    <x:row r="9">
      <x:c r="A9" s="19" t="str">
        <x:v>MT-005</x:v>
      </x:c>
      <x:c r="B9" s="19" t="str">
        <x:v>Project Profile</x:v>
      </x:c>
      <x:c r="C9" s="19" t="str">
        <x:v>Save and reload project profile</x:v>
      </x:c>
      <x:c r="D9" s="19" t="str">
        <x:v>Profile fields edited</x:v>
      </x:c>
      <x:c r="E9" s="19" t="str">
        <x:v>Save profile; switch project or restart; reopen profile.</x:v>
      </x:c>
      <x:c r="F9" s="19" t="str">
        <x:v>All edited profile fields and commands persist after reload.</x:v>
      </x:c>
      <x:c r="G9" s="19" t="str">
        <x:v>P0</x:v>
      </x:c>
      <x:c r="H9" s="19" t="str">
        <x:v>Not Run</x:v>
      </x:c>
      <x:c r="I9" s="19" t="str"/>
      <x:c r="J9" s="19" t="str"/>
      <x:c r="K9" s="20" t="str"/>
      <x:c r="L9" s="19" t="str"/>
    </x:row>
    <x:row r="10">
      <x:c r="A10" s="19" t="str">
        <x:v>MT-006</x:v>
      </x:c>
      <x:c r="B10" s="19" t="str">
        <x:v>Project Profile</x:v>
      </x:c>
      <x:c r="C10" s="19" t="str">
        <x:v>Allow Builder Apply toggle controls apply mode</x:v>
      </x:c>
      <x:c r="D10" s="19" t="str">
        <x:v>Project profile loaded</x:v>
      </x:c>
      <x:c r="E10" s="19" t="str">
        <x:v>Toggle Allow Builder Apply off and on; open Builder for a ticket.</x:v>
      </x:c>
      <x:c r="F10" s="19" t="str">
        <x:v>Builder displays proposal-only mode when disabled and allows apply only when enabled and readiness passes.</x:v>
      </x:c>
      <x:c r="G10" s="19" t="str">
        <x:v>P0</x:v>
      </x:c>
      <x:c r="H10" s="19" t="str">
        <x:v>Not Run</x:v>
      </x:c>
      <x:c r="I10" s="19" t="str"/>
      <x:c r="J10" s="19" t="str"/>
      <x:c r="K10" s="20" t="str"/>
      <x:c r="L10" s="19" t="str"/>
    </x:row>
    <x:row r="11">
      <x:c r="A11" s="19" t="str">
        <x:v>MT-007</x:v>
      </x:c>
      <x:c r="B11" s="19" t="str">
        <x:v>Indexing</x:v>
      </x:c>
      <x:c r="C11" s="19" t="str">
        <x:v>Initial unindexed project warning</x:v>
      </x:c>
      <x:c r="D11" s="19" t="str">
        <x:v>Project has no LastIndexedUtc</x:v>
      </x:c>
      <x:c r="E11" s="19" t="str">
        <x:v>Open Overview, Chat, Tickets, and Builder entry points.</x:v>
      </x:c>
      <x:c r="F11" s="19" t="str">
        <x:v>UI clearly indicates Needs Index before context-dependent actions.</x:v>
      </x:c>
      <x:c r="G11" s="19" t="str">
        <x:v>P0</x:v>
      </x:c>
      <x:c r="H11" s="19" t="str">
        <x:v>Not Run</x:v>
      </x:c>
      <x:c r="I11" s="19" t="str"/>
      <x:c r="J11" s="19" t="str"/>
      <x:c r="K11" s="20" t="str"/>
      <x:c r="L11" s="19" t="str"/>
    </x:row>
    <x:row r="12">
      <x:c r="A12" s="19" t="str">
        <x:v>MT-008</x:v>
      </x:c>
      <x:c r="B12" s="19" t="str">
        <x:v>Indexing</x:v>
      </x:c>
      <x:c r="C12" s="19" t="str">
        <x:v>Index Now from status pill</x:v>
      </x:c>
      <x:c r="D12" s="19" t="str">
        <x:v>Project status Needs Index</x:v>
      </x:c>
      <x:c r="E12" s="19" t="str">
        <x:v>Open top status pill; click Index Now.</x:v>
      </x:c>
      <x:c r="F12" s="19" t="str">
        <x:v>Index runs, status updates to Ready when files are indexed, and file count is shown.</x:v>
      </x:c>
      <x:c r="G12" s="19" t="str">
        <x:v>P0</x:v>
      </x:c>
      <x:c r="H12" s="19" t="str">
        <x:v>Not Run</x:v>
      </x:c>
      <x:c r="I12" s="19" t="str"/>
      <x:c r="J12" s="19" t="str"/>
      <x:c r="K12" s="20" t="str"/>
      <x:c r="L12" s="19" t="str"/>
    </x:row>
    <x:row r="13">
      <x:c r="A13" s="19" t="str">
        <x:v>MT-009</x:v>
      </x:c>
      <x:c r="B13" s="19" t="str">
        <x:v>Indexing</x:v>
      </x:c>
      <x:c r="C13" s="19" t="str">
        <x:v>Index failure is visible</x:v>
      </x:c>
      <x:c r="D13" s="19" t="str">
        <x:v>Project path points to missing folder</x:v>
      </x:c>
      <x:c r="E13" s="19" t="str">
        <x:v>Run Index Project.</x:v>
      </x:c>
      <x:c r="F13" s="19" t="str">
        <x:v>Status becomes failure state, details explain missing path, and builder readiness blocks.</x:v>
      </x:c>
      <x:c r="G13" s="19" t="str">
        <x:v>P0</x:v>
      </x:c>
      <x:c r="H13" s="19" t="str">
        <x:v>Not Run</x:v>
      </x:c>
      <x:c r="I13" s="19" t="str"/>
      <x:c r="J13" s="19" t="str"/>
      <x:c r="K13" s="20" t="str"/>
      <x:c r="L13" s="19" t="str"/>
    </x:row>
    <x:row r="14">
      <x:c r="A14" s="19" t="str">
        <x:v>MT-010</x:v>
      </x:c>
      <x:c r="B14" s="19" t="str">
        <x:v>Indexing</x:v>
      </x:c>
      <x:c r="C14" s="19" t="str">
        <x:v>Ready status requires indexed files</x:v>
      </x:c>
      <x:c r="D14" s="19" t="str">
        <x:v>Project has no indexable files</x:v>
      </x:c>
      <x:c r="E14" s="19" t="str">
        <x:v>Run Index Project.</x:v>
      </x:c>
      <x:c r="F14" s="19" t="str">
        <x:v>Status does not misleadingly show Ready; callout explains no indexable files.</x:v>
      </x:c>
      <x:c r="G14" s="19" t="str">
        <x:v>P1</x:v>
      </x:c>
      <x:c r="H14" s="19" t="str">
        <x:v>Not Run</x:v>
      </x:c>
      <x:c r="I14" s="19" t="str"/>
      <x:c r="J14" s="19" t="str"/>
      <x:c r="K14" s="20" t="str"/>
      <x:c r="L14" s="19" t="str"/>
    </x:row>
    <x:row r="15">
      <x:c r="A15" s="19" t="str">
        <x:v>MT-011</x:v>
      </x:c>
      <x:c r="B15" s="19" t="str">
        <x:v>Indexing</x:v>
      </x:c>
      <x:c r="C15" s="19" t="str">
        <x:v>Stale index after Builder apply</x:v>
      </x:c>
      <x:c r="D15" s="19" t="str">
        <x:v>Ready indexed project and build-ready ticket</x:v>
      </x:c>
      <x:c r="E15" s="19" t="str">
        <x:v>Generate proposal; apply it successfully.</x:v>
      </x:c>
      <x:c r="F15" s="19" t="str">
        <x:v>Project status changes to Stale Index and Builder readiness blocks next action until re-index.</x:v>
      </x:c>
      <x:c r="G15" s="19" t="str">
        <x:v>P0</x:v>
      </x:c>
      <x:c r="H15" s="19" t="str">
        <x:v>Not Run</x:v>
      </x:c>
      <x:c r="I15" s="19" t="str"/>
      <x:c r="J15" s="19" t="str"/>
      <x:c r="K15" s="20" t="str"/>
      <x:c r="L15" s="19" t="str"/>
    </x:row>
    <x:row r="16">
      <x:c r="A16" s="19" t="str">
        <x:v>MT-012</x:v>
      </x:c>
      <x:c r="B16" s="19" t="str">
        <x:v>Chat Context</x:v>
      </x:c>
      <x:c r="C16" s="19" t="str">
        <x:v>Chat with fresh project context</x:v>
      </x:c>
      <x:c r="D16" s="19" t="str">
        <x:v>Project status Ready</x:v>
      </x:c>
      <x:c r="E16" s="19" t="str">
        <x:v>Ask about a specific symbol or file behavior.</x:v>
      </x:c>
      <x:c r="F16" s="19" t="str">
        <x:v>Response uses indexed project context and avoids limited-context warning.</x:v>
      </x:c>
      <x:c r="G16" s="19" t="str">
        <x:v>P0</x:v>
      </x:c>
      <x:c r="H16" s="19" t="str">
        <x:v>Not Run</x:v>
      </x:c>
      <x:c r="I16" s="19" t="str"/>
      <x:c r="J16" s="19" t="str"/>
      <x:c r="K16" s="20" t="str"/>
      <x:c r="L16" s="19" t="str"/>
    </x:row>
    <x:row r="17">
      <x:c r="A17" s="19" t="str">
        <x:v>MT-013</x:v>
      </x:c>
      <x:c r="B17" s="19" t="str">
        <x:v>Chat Context</x:v>
      </x:c>
      <x:c r="C17" s="19" t="str">
        <x:v>Chat warning with stale index</x:v>
      </x:c>
      <x:c r="D17" s="19" t="str">
        <x:v>Project status Stale Index</x:v>
      </x:c>
      <x:c r="E17" s="19" t="str">
        <x:v>Ask implementation-specific follow-up.</x:v>
      </x:c>
      <x:c r="F17" s="19" t="str">
        <x:v>UI and/or response clearly warns that context may be stale.</x:v>
      </x:c>
      <x:c r="G17" s="19" t="str">
        <x:v>P0</x:v>
      </x:c>
      <x:c r="H17" s="19" t="str">
        <x:v>Not Run</x:v>
      </x:c>
      <x:c r="I17" s="19" t="str"/>
      <x:c r="J17" s="19" t="str"/>
      <x:c r="K17" s="20" t="str"/>
      <x:c r="L17" s="19" t="str"/>
    </x:row>
    <x:row r="18">
      <x:c r="A18" s="19" t="str">
        <x:v>MT-014</x:v>
      </x:c>
      <x:c r="B18" s="19" t="str">
        <x:v>Chat Context</x:v>
      </x:c>
      <x:c r="C18" s="19" t="str">
        <x:v>Follow-up resolves active topic</x:v>
      </x:c>
      <x:c r="D18" s="19" t="str">
        <x:v>Prior discussion about persistence</x:v>
      </x:c>
      <x:c r="E18" s="19" t="str">
        <x:v>Ask: industry standard?</x:v>
      </x:c>
      <x:c r="F18" s="19" t="str">
        <x:v>IronDev treats it as architecture advice for the active persistence topic.</x:v>
      </x:c>
      <x:c r="G18" s="19" t="str">
        <x:v>P1</x:v>
      </x:c>
      <x:c r="H18" s="19" t="str">
        <x:v>Not Run</x:v>
      </x:c>
      <x:c r="I18" s="19" t="str"/>
      <x:c r="J18" s="19" t="str"/>
      <x:c r="K18" s="20" t="str"/>
      <x:c r="L18" s="19" t="str"/>
    </x:row>
    <x:row r="19">
      <x:c r="A19" s="19" t="str">
        <x:v>MT-015</x:v>
      </x:c>
      <x:c r="B19" s="19" t="str">
        <x:v>Chat Context</x:v>
      </x:c>
      <x:c r="C19" s="19" t="str">
        <x:v>Short confirmation routes correctly</x:v>
      </x:c>
      <x:c r="D19" s="19" t="str">
        <x:v>Assistant asked to create ticket or decision</x:v>
      </x:c>
      <x:c r="E19" s="19" t="str">
        <x:v>Reply: yes.</x:v>
      </x:c>
      <x:c r="F19" s="19" t="str">
        <x:v>IronDev resolves yes against the active pending action.</x:v>
      </x:c>
      <x:c r="G19" s="19" t="str">
        <x:v>P1</x:v>
      </x:c>
      <x:c r="H19" s="19" t="str">
        <x:v>Not Run</x:v>
      </x:c>
      <x:c r="I19" s="19" t="str"/>
      <x:c r="J19" s="19" t="str"/>
      <x:c r="K19" s="20" t="str"/>
      <x:c r="L19" s="19" t="str"/>
    </x:row>
    <x:row r="20">
      <x:c r="A20" s="19" t="str">
        <x:v>MT-016</x:v>
      </x:c>
      <x:c r="B20" s="19" t="str">
        <x:v>Tickets</x:v>
      </x:c>
      <x:c r="C20" s="19" t="str">
        <x:v>Create ticket from chat</x:v>
      </x:c>
      <x:c r="D20" s="19" t="str">
        <x:v>Chat has a clear user request</x:v>
      </x:c>
      <x:c r="E20" s="19" t="str">
        <x:v>Use Create Ticket from chat.</x:v>
      </x:c>
      <x:c r="F20" s="19" t="str">
        <x:v>Ticket draft opens with title, summary, problem, acceptance criteria, linked context, and generation note.</x:v>
      </x:c>
      <x:c r="G20" s="19" t="str">
        <x:v>P0</x:v>
      </x:c>
      <x:c r="H20" s="19" t="str">
        <x:v>Not Run</x:v>
      </x:c>
      <x:c r="I20" s="19" t="str"/>
      <x:c r="J20" s="19" t="str"/>
      <x:c r="K20" s="20" t="str"/>
      <x:c r="L20" s="19" t="str"/>
    </x:row>
    <x:row r="21">
      <x:c r="A21" s="19" t="str">
        <x:v>MT-017</x:v>
      </x:c>
      <x:c r="B21" s="19" t="str">
        <x:v>Tickets</x:v>
      </x:c>
      <x:c r="C21" s="19" t="str">
        <x:v>Chat-to-ticket blocks/flags limited context</x:v>
      </x:c>
      <x:c r="D21" s="19" t="str">
        <x:v>Project not indexed</x:v>
      </x:c>
      <x:c r="E21" s="19" t="str">
        <x:v>Create ticket from chat.</x:v>
      </x:c>
      <x:c r="F21" s="19" t="str">
        <x:v>Preflight asks to index first or continue with limited context.</x:v>
      </x:c>
      <x:c r="G21" s="19" t="str">
        <x:v>P0</x:v>
      </x:c>
      <x:c r="H21" s="19" t="str">
        <x:v>Not Run</x:v>
      </x:c>
      <x:c r="I21" s="19" t="str"/>
      <x:c r="J21" s="19" t="str"/>
      <x:c r="K21" s="20" t="str"/>
      <x:c r="L21" s="19" t="str"/>
    </x:row>
    <x:row r="22">
      <x:c r="A22" s="19" t="str">
        <x:v>MT-018</x:v>
      </x:c>
      <x:c r="B22" s="19" t="str">
        <x:v>Tickets</x:v>
      </x:c>
      <x:c r="C22" s="19" t="str">
        <x:v>Split multiple tickets from chat</x:v>
      </x:c>
      <x:c r="D22" s="19" t="str">
        <x:v>Chat request includes multiple distinct work items</x:v>
      </x:c>
      <x:c r="E22" s="19" t="str">
        <x:v>Create tickets from chat.</x:v>
      </x:c>
      <x:c r="F22" s="19" t="str">
        <x:v>Separate ticket drafts are generated without mixing acceptance criteria.</x:v>
      </x:c>
      <x:c r="G22" s="19" t="str">
        <x:v>P1</x:v>
      </x:c>
      <x:c r="H22" s="19" t="str">
        <x:v>Not Run</x:v>
      </x:c>
      <x:c r="I22" s="19" t="str"/>
      <x:c r="J22" s="19" t="str"/>
      <x:c r="K22" s="20" t="str"/>
      <x:c r="L22" s="19" t="str"/>
    </x:row>
    <x:row r="23">
      <x:c r="A23" s="19" t="str">
        <x:v>MT-019</x:v>
      </x:c>
      <x:c r="B23" s="19" t="str">
        <x:v>Tickets</x:v>
      </x:c>
      <x:c r="C23" s="19" t="str">
        <x:v>Ticket save/reload</x:v>
      </x:c>
      <x:c r="D23" s="19" t="str">
        <x:v>Draft ticket populated</x:v>
      </x:c>
      <x:c r="E23" s="19" t="str">
        <x:v>Approve/save ticket; refresh or switch workspace.</x:v>
      </x:c>
      <x:c r="F23" s="19" t="str">
        <x:v>Ticket persists with generated fields and selected status/priority.</x:v>
      </x:c>
      <x:c r="G23" s="19" t="str">
        <x:v>P0</x:v>
      </x:c>
      <x:c r="H23" s="19" t="str">
        <x:v>Not Run</x:v>
      </x:c>
      <x:c r="I23" s="19" t="str"/>
      <x:c r="J23" s="19" t="str"/>
      <x:c r="K23" s="20" t="str"/>
      <x:c r="L23" s="19" t="str"/>
    </x:row>
    <x:row r="24">
      <x:c r="A24" s="19" t="str">
        <x:v>MT-020</x:v>
      </x:c>
      <x:c r="B24" s="19" t="str">
        <x:v>Tickets</x:v>
      </x:c>
      <x:c r="C24" s="19" t="str">
        <x:v>Build This blocked for unclear ticket</x:v>
      </x:c>
      <x:c r="D24" s="19" t="str">
        <x:v>Ticket title only, no summary/problem/criteria</x:v>
      </x:c>
      <x:c r="E24" s="19" t="str">
        <x:v>Click Build This.</x:v>
      </x:c>
      <x:c r="F24" s="19" t="str">
        <x:v>Build readiness blocks with NeedsClarification and actionable message.</x:v>
      </x:c>
      <x:c r="G24" s="19" t="str">
        <x:v>P0</x:v>
      </x:c>
      <x:c r="H24" s="19" t="str">
        <x:v>Not Run</x:v>
      </x:c>
      <x:c r="I24" s="19" t="str"/>
      <x:c r="J24" s="19" t="str"/>
      <x:c r="K24" s="20" t="str"/>
      <x:c r="L24" s="19" t="str"/>
    </x:row>
    <x:row r="25">
      <x:c r="A25" s="19" t="str">
        <x:v>MT-021</x:v>
      </x:c>
      <x:c r="B25" s="19" t="str">
        <x:v>Build Readiness</x:v>
      </x:c>
      <x:c r="C25" s="19" t="str">
        <x:v>Complete ticket returns ReadyToBuild</x:v>
      </x:c>
      <x:c r="D25" s="19" t="str">
        <x:v>Profile, commands, index, and clear ticket exist</x:v>
      </x:c>
      <x:c r="E25" s="19" t="str">
        <x:v>Refresh readiness for selected ticket.</x:v>
      </x:c>
      <x:c r="F25" s="19" t="str">
        <x:v>Readiness shows ReadyToBuild and builder action is enabled.</x:v>
      </x:c>
      <x:c r="G25" s="19" t="str">
        <x:v>P0</x:v>
      </x:c>
      <x:c r="H25" s="19" t="str">
        <x:v>Not Run</x:v>
      </x:c>
      <x:c r="I25" s="19" t="str"/>
      <x:c r="J25" s="19" t="str"/>
      <x:c r="K25" s="20" t="str"/>
      <x:c r="L25" s="19" t="str"/>
    </x:row>
    <x:row r="26">
      <x:c r="A26" s="19" t="str">
        <x:v>MT-022</x:v>
      </x:c>
      <x:c r="B26" s="19" t="str">
        <x:v>Build Readiness</x:v>
      </x:c>
      <x:c r="C26" s="19" t="str">
        <x:v>Missing profile blocks builder</x:v>
      </x:c>
      <x:c r="D26" s="19" t="str">
        <x:v>No project profile</x:v>
      </x:c>
      <x:c r="E26" s="19" t="str">
        <x:v>Attempt Build This.</x:v>
      </x:c>
      <x:c r="F26" s="19" t="str">
        <x:v>Readiness blocks with NeedsProjectProfileUpdate.</x:v>
      </x:c>
      <x:c r="G26" s="19" t="str">
        <x:v>P0</x:v>
      </x:c>
      <x:c r="H26" s="19" t="str">
        <x:v>Not Run</x:v>
      </x:c>
      <x:c r="I26" s="19" t="str"/>
      <x:c r="J26" s="19" t="str"/>
      <x:c r="K26" s="20" t="str"/>
      <x:c r="L26" s="19" t="str"/>
    </x:row>
    <x:row r="27">
      <x:c r="A27" s="19" t="str">
        <x:v>MT-023</x:v>
      </x:c>
      <x:c r="B27" s="19" t="str">
        <x:v>Build Readiness</x:v>
      </x:c>
      <x:c r="C27" s="19" t="str">
        <x:v>Missing build command blocks builder</x:v>
      </x:c>
      <x:c r="D27" s="19" t="str">
        <x:v>Profile exists without build command</x:v>
      </x:c>
      <x:c r="E27" s="19" t="str">
        <x:v>Attempt Build This.</x:v>
      </x:c>
      <x:c r="F27" s="19" t="str">
        <x:v>Readiness blocks with build command missing.</x:v>
      </x:c>
      <x:c r="G27" s="19" t="str">
        <x:v>P0</x:v>
      </x:c>
      <x:c r="H27" s="19" t="str">
        <x:v>Not Run</x:v>
      </x:c>
      <x:c r="I27" s="19" t="str"/>
      <x:c r="J27" s="19" t="str"/>
      <x:c r="K27" s="20" t="str"/>
      <x:c r="L27" s="19" t="str"/>
    </x:row>
    <x:row r="28">
      <x:c r="A28" s="19" t="str">
        <x:v>MT-024</x:v>
      </x:c>
      <x:c r="B28" s="19" t="str">
        <x:v>Build Readiness</x:v>
      </x:c>
      <x:c r="C28" s="19" t="str">
        <x:v>Open question blocks relevant ticket</x:v>
      </x:c>
      <x:c r="D28" s="19" t="str">
        <x:v>OpenQuestion context document exists for ticket area</x:v>
      </x:c>
      <x:c r="E28" s="19" t="str">
        <x:v>Attempt Build This.</x:v>
      </x:c>
      <x:c r="F28" s="19" t="str">
        <x:v>Readiness blocks and names relevant open question.</x:v>
      </x:c>
      <x:c r="G28" s="19" t="str">
        <x:v>P1</x:v>
      </x:c>
      <x:c r="H28" s="19" t="str">
        <x:v>Not Run</x:v>
      </x:c>
      <x:c r="I28" s="19" t="str"/>
      <x:c r="J28" s="19" t="str"/>
      <x:c r="K28" s="20" t="str"/>
      <x:c r="L28" s="19" t="str"/>
    </x:row>
    <x:row r="29">
      <x:c r="A29" s="19" t="str">
        <x:v>MT-025</x:v>
      </x:c>
      <x:c r="B29" s="19" t="str">
        <x:v>Build Readiness</x:v>
      </x:c>
      <x:c r="C29" s="19" t="str">
        <x:v>Persistence ticket requires architecture fields</x:v>
      </x:c>
      <x:c r="D29" s="19" t="str">
        <x:v>Ticket mentions database; profile lacks DatabaseEngine/DataAccessStyle</x:v>
      </x:c>
      <x:c r="E29" s="19" t="str">
        <x:v>Attempt Build This.</x:v>
      </x:c>
      <x:c r="F29" s="19" t="str">
        <x:v>Readiness blocks with NeedsArchitectureDecision.</x:v>
      </x:c>
      <x:c r="G29" s="19" t="str">
        <x:v>P0</x:v>
      </x:c>
      <x:c r="H29" s="19" t="str">
        <x:v>Not Run</x:v>
      </x:c>
      <x:c r="I29" s="19" t="str"/>
      <x:c r="J29" s="19" t="str"/>
      <x:c r="K29" s="20" t="str"/>
      <x:c r="L29" s="19" t="str"/>
    </x:row>
    <x:row r="30">
      <x:c r="A30" s="19" t="str">
        <x:v>MT-026</x:v>
      </x:c>
      <x:c r="B30" s="19" t="str">
        <x:v>Builder Proposal</x:v>
      </x:c>
      <x:c r="C30" s="19" t="str">
        <x:v>Generate safe proposal</x:v>
      </x:c>
      <x:c r="D30" s="19" t="str">
        <x:v>Build-ready ticket</x:v>
      </x:c>
      <x:c r="E30" s="19" t="str">
        <x:v>Click Build This; wait for Builder Workbench.</x:v>
      </x:c>
      <x:c r="F30" s="19" t="str">
        <x:v>Proposal includes summary, rationale, one or more validated file changes, and original request.</x:v>
      </x:c>
      <x:c r="G30" s="19" t="str">
        <x:v>P0</x:v>
      </x:c>
      <x:c r="H30" s="19" t="str">
        <x:v>Not Run</x:v>
      </x:c>
      <x:c r="I30" s="19" t="str"/>
      <x:c r="J30" s="19" t="str"/>
      <x:c r="K30" s="20" t="str"/>
      <x:c r="L30" s="19" t="str"/>
    </x:row>
    <x:row r="31">
      <x:c r="A31" s="19" t="str">
        <x:v>MT-027</x:v>
      </x:c>
      <x:c r="B31" s="19" t="str">
        <x:v>Builder Proposal</x:v>
      </x:c>
      <x:c r="C31" s="19" t="str">
        <x:v>Incomplete proposal is blocked</x:v>
      </x:c>
      <x:c r="D31" s="19" t="str">
        <x:v>LLM returns no changes or invalid file content</x:v>
      </x:c>
      <x:c r="E31" s="19" t="str">
        <x:v>Generate proposal.</x:v>
      </x:c>
      <x:c r="F31" s="19" t="str">
        <x:v>Validation issues are visible and Apply Proposal is disabled.</x:v>
      </x:c>
      <x:c r="G31" s="19" t="str">
        <x:v>P0</x:v>
      </x:c>
      <x:c r="H31" s="19" t="str">
        <x:v>Not Run</x:v>
      </x:c>
      <x:c r="I31" s="19" t="str"/>
      <x:c r="J31" s="19" t="str"/>
      <x:c r="K31" s="20" t="str"/>
      <x:c r="L31" s="19" t="str"/>
    </x:row>
    <x:row r="32">
      <x:c r="A32" s="19" t="str">
        <x:v>MT-028</x:v>
      </x:c>
      <x:c r="B32" s="19" t="str">
        <x:v>Builder Proposal</x:v>
      </x:c>
      <x:c r="C32" s="19" t="str">
        <x:v>Proposal matches requested API</x:v>
      </x:c>
      <x:c r="D32" s="19" t="str">
        <x:v>Ticket specifies API names/signatures</x:v>
      </x:c>
      <x:c r="E32" s="19" t="str">
        <x:v>Generate proposal; review files.</x:v>
      </x:c>
      <x:c r="F32" s="19" t="str">
        <x:v>Generated code follows requested API names/signatures or flags uncertainty.</x:v>
      </x:c>
      <x:c r="G32" s="19" t="str">
        <x:v>P1</x:v>
      </x:c>
      <x:c r="H32" s="19" t="str">
        <x:v>Not Run</x:v>
      </x:c>
      <x:c r="I32" s="19" t="str"/>
      <x:c r="J32" s="19" t="str"/>
      <x:c r="K32" s="20" t="str"/>
      <x:c r="L32" s="19" t="str"/>
    </x:row>
    <x:row r="33">
      <x:c r="A33" s="19" t="str">
        <x:v>MT-029</x:v>
      </x:c>
      <x:c r="B33" s="19" t="str">
        <x:v>Diff Review</x:v>
      </x:c>
      <x:c r="C33" s="19" t="str">
        <x:v>Readable file diff</x:v>
      </x:c>
      <x:c r="D33" s="19" t="str">
        <x:v>Proposal generated</x:v>
      </x:c>
      <x:c r="E33" s="19" t="str">
        <x:v>Select each proposed file.</x:v>
      </x:c>
      <x:c r="F33" s="19" t="str">
        <x:v>Diff view shows file path and readable change content without clipping key text.</x:v>
      </x:c>
      <x:c r="G33" s="19" t="str">
        <x:v>P0</x:v>
      </x:c>
      <x:c r="H33" s="19" t="str">
        <x:v>Not Run</x:v>
      </x:c>
      <x:c r="I33" s="19" t="str"/>
      <x:c r="J33" s="19" t="str"/>
      <x:c r="K33" s="20" t="str"/>
      <x:c r="L33" s="19" t="str"/>
    </x:row>
    <x:row r="34">
      <x:c r="A34" s="19" t="str">
        <x:v>MT-030</x:v>
      </x:c>
      <x:c r="B34" s="19" t="str">
        <x:v>Diff Review</x:v>
      </x:c>
      <x:c r="C34" s="19" t="str">
        <x:v>Invalid file change callout</x:v>
      </x:c>
      <x:c r="D34" s="19" t="str">
        <x:v>Proposal contains invalid path or missing content</x:v>
      </x:c>
      <x:c r="E34" s="19" t="str">
        <x:v>Review validation section.</x:v>
      </x:c>
      <x:c r="F34" s="19" t="str">
        <x:v>Invalid file and reason are visible in right panel and file list.</x:v>
      </x:c>
      <x:c r="G34" s="19" t="str">
        <x:v>P0</x:v>
      </x:c>
      <x:c r="H34" s="19" t="str">
        <x:v>Not Run</x:v>
      </x:c>
      <x:c r="I34" s="19" t="str"/>
      <x:c r="J34" s="19" t="str"/>
      <x:c r="K34" s="20" t="str"/>
      <x:c r="L34" s="19" t="str"/>
    </x:row>
    <x:row r="35">
      <x:c r="A35" s="19" t="str">
        <x:v>MT-031</x:v>
      </x:c>
      <x:c r="B35" s="19" t="str">
        <x:v>Sandbox Apply</x:v>
      </x:c>
      <x:c r="C35" s="19" t="str">
        <x:v>Apply requires explicit approval</x:v>
      </x:c>
      <x:c r="D35" s="19" t="str">
        <x:v>Valid proposal; AllowBuilderApply true</x:v>
      </x:c>
      <x:c r="E35" s="19" t="str">
        <x:v>Click Apply Proposal.</x:v>
      </x:c>
      <x:c r="F35" s="19" t="str">
        <x:v>Approval dialog lists project, safe write root, and files before writing.</x:v>
      </x:c>
      <x:c r="G35" s="19" t="str">
        <x:v>P0</x:v>
      </x:c>
      <x:c r="H35" s="19" t="str">
        <x:v>Not Run</x:v>
      </x:c>
      <x:c r="I35" s="19" t="str"/>
      <x:c r="J35" s="19" t="str"/>
      <x:c r="K35" s="20" t="str"/>
      <x:c r="L35" s="19" t="str"/>
    </x:row>
    <x:row r="36">
      <x:c r="A36" s="19" t="str">
        <x:v>MT-032</x:v>
      </x:c>
      <x:c r="B36" s="19" t="str">
        <x:v>Sandbox Apply</x:v>
      </x:c>
      <x:c r="C36" s="19" t="str">
        <x:v>Cancel approval writes nothing</x:v>
      </x:c>
      <x:c r="D36" s="19" t="str">
        <x:v>Approval dialog open</x:v>
      </x:c>
      <x:c r="E36" s="19" t="str">
        <x:v>Click No/Cancel.</x:v>
      </x:c>
      <x:c r="F36" s="19" t="str">
        <x:v>No files are written and trace records approval cancelled.</x:v>
      </x:c>
      <x:c r="G36" s="19" t="str">
        <x:v>P0</x:v>
      </x:c>
      <x:c r="H36" s="19" t="str">
        <x:v>Not Run</x:v>
      </x:c>
      <x:c r="I36" s="19" t="str"/>
      <x:c r="J36" s="19" t="str"/>
      <x:c r="K36" s="20" t="str"/>
      <x:c r="L36" s="19" t="str"/>
    </x:row>
    <x:row r="37">
      <x:c r="A37" s="19" t="str">
        <x:v>MT-033</x:v>
      </x:c>
      <x:c r="B37" s="19" t="str">
        <x:v>Sandbox Apply</x:v>
      </x:c>
      <x:c r="C37" s="19" t="str">
        <x:v>SafeWriteRoot enforced</x:v>
      </x:c>
      <x:c r="D37" s="19" t="str">
        <x:v>Proposal attempts path outside safe root</x:v>
      </x:c>
      <x:c r="E37" s="19" t="str">
        <x:v>Apply proposal.</x:v>
      </x:c>
      <x:c r="F37" s="19" t="str">
        <x:v>Apply is blocked with security violation and no outside write occurs.</x:v>
      </x:c>
      <x:c r="G37" s="19" t="str">
        <x:v>P0</x:v>
      </x:c>
      <x:c r="H37" s="19" t="str">
        <x:v>Not Run</x:v>
      </x:c>
      <x:c r="I37" s="19" t="str"/>
      <x:c r="J37" s="19" t="str"/>
      <x:c r="K37" s="20" t="str"/>
      <x:c r="L37" s="19" t="str"/>
    </x:row>
    <x:row r="38">
      <x:c r="A38" s="19" t="str">
        <x:v>MT-034</x:v>
      </x:c>
      <x:c r="B38" s="19" t="str">
        <x:v>Build/Test</x:v>
      </x:c>
      <x:c r="C38" s="19" t="str">
        <x:v>Successful apply runs build and tests</x:v>
      </x:c>
      <x:c r="D38" s="19" t="str">
        <x:v>Valid proposal; build/test commands configured</x:v>
      </x:c>
      <x:c r="E38" s="19" t="str">
        <x:v>Approve apply.</x:v>
      </x:c>
      <x:c r="F38" s="19" t="str">
        <x:v>Files write, build runs, tests run, statuses and output panels update.</x:v>
      </x:c>
      <x:c r="G38" s="19" t="str">
        <x:v>P0</x:v>
      </x:c>
      <x:c r="H38" s="19" t="str">
        <x:v>Not Run</x:v>
      </x:c>
      <x:c r="I38" s="19" t="str"/>
      <x:c r="J38" s="19" t="str"/>
      <x:c r="K38" s="20" t="str"/>
      <x:c r="L38" s="19" t="str"/>
    </x:row>
    <x:row r="39">
      <x:c r="A39" s="19" t="str">
        <x:v>MT-035</x:v>
      </x:c>
      <x:c r="B39" s="19" t="str">
        <x:v>Build/Test</x:v>
      </x:c>
      <x:c r="C39" s="19" t="str">
        <x:v>Build failure skips tests</x:v>
      </x:c>
      <x:c r="D39" s="19" t="str">
        <x:v>Proposal causes compile failure</x:v>
      </x:c>
      <x:c r="E39" s="19" t="str">
        <x:v>Approve apply.</x:v>
      </x:c>
      <x:c r="F39" s="19" t="str">
        <x:v>Build output is captured, test status is skipped due to build failure.</x:v>
      </x:c>
      <x:c r="G39" s="19" t="str">
        <x:v>P0</x:v>
      </x:c>
      <x:c r="H39" s="19" t="str">
        <x:v>Not Run</x:v>
      </x:c>
      <x:c r="I39" s="19" t="str"/>
      <x:c r="J39" s="19" t="str"/>
      <x:c r="K39" s="20" t="str"/>
      <x:c r="L39" s="19" t="str"/>
    </x:row>
    <x:row r="40">
      <x:c r="A40" s="19" t="str">
        <x:v>MT-036</x:v>
      </x:c>
      <x:c r="B40" s="19" t="str">
        <x:v>Build/Test</x:v>
      </x:c>
      <x:c r="C40" s="19" t="str">
        <x:v>Missing test command warning/skip behavior</x:v>
      </x:c>
      <x:c r="D40" s="19" t="str">
        <x:v>Build command exists; test command missing</x:v>
      </x:c>
      <x:c r="E40" s="19" t="str">
        <x:v>Run readiness and apply flow.</x:v>
      </x:c>
      <x:c r="F40" s="19" t="str">
        <x:v>Readiness warns; apply/build behavior clearly shows tests skipped or failed due to configuration.</x:v>
      </x:c>
      <x:c r="G40" s="19" t="str">
        <x:v>P1</x:v>
      </x:c>
      <x:c r="H40" s="19" t="str">
        <x:v>Not Run</x:v>
      </x:c>
      <x:c r="I40" s="19" t="str"/>
      <x:c r="J40" s="19" t="str"/>
      <x:c r="K40" s="20" t="str"/>
      <x:c r="L40" s="19" t="str"/>
    </x:row>
    <x:row r="41">
      <x:c r="A41" s="19" t="str">
        <x:v>MT-037</x:v>
      </x:c>
      <x:c r="B41" s="19" t="str">
        <x:v>Architecture Reconciliation</x:v>
      </x:c>
      <x:c r="C41" s="19" t="str">
        <x:v>xUnit/MSTest mismatch classified</x:v>
      </x:c>
      <x:c r="D41" s="19" t="str">
        <x:v>Build failure caused by generated test framework mismatch</x:v>
      </x:c>
      <x:c r="E41" s="19" t="str">
        <x:v>Apply proposal that triggers mismatch.</x:v>
      </x:c>
      <x:c r="F41" s="19" t="str">
        <x:v>Reconciliation panel shows failure category, evidence, detected facts, and recommended actions.</x:v>
      </x:c>
      <x:c r="G41" s="19" t="str">
        <x:v>P0</x:v>
      </x:c>
      <x:c r="H41" s="19" t="str">
        <x:v>Not Run</x:v>
      </x:c>
      <x:c r="I41" s="19" t="str"/>
      <x:c r="J41" s="19" t="str"/>
      <x:c r="K41" s="20" t="str"/>
      <x:c r="L41" s="19" t="str"/>
    </x:row>
    <x:row r="42">
      <x:c r="A42" s="19" t="str">
        <x:v>MT-038</x:v>
      </x:c>
      <x:c r="B42" s="19" t="str">
        <x:v>Architecture Reconciliation</x:v>
      </x:c>
      <x:c r="C42" s="19" t="str">
        <x:v>Accept profile update action</x:v>
      </x:c>
      <x:c r="D42" s="19" t="str">
        <x:v>Reconciliation panel visible</x:v>
      </x:c>
      <x:c r="E42" s="19" t="str">
        <x:v>Choose profile update action.</x:v>
      </x:c>
      <x:c r="F42" s="19" t="str">
        <x:v>Project profile and decision/memory update are saved; trace records action.</x:v>
      </x:c>
      <x:c r="G42" s="19" t="str">
        <x:v>P0</x:v>
      </x:c>
      <x:c r="H42" s="19" t="str">
        <x:v>Not Run</x:v>
      </x:c>
      <x:c r="I42" s="19" t="str"/>
      <x:c r="J42" s="19" t="str"/>
      <x:c r="K42" s="20" t="str"/>
      <x:c r="L42" s="19" t="str"/>
    </x:row>
    <x:row r="43">
      <x:c r="A43" s="19" t="str">
        <x:v>MT-039</x:v>
      </x:c>
      <x:c r="B43" s="19" t="str">
        <x:v>Architecture Reconciliation</x:v>
      </x:c>
      <x:c r="C43" s="19" t="str">
        <x:v>Cancel reconciliation</x:v>
      </x:c>
      <x:c r="D43" s="19" t="str">
        <x:v>Reconciliation panel visible</x:v>
      </x:c>
      <x:c r="E43" s="19" t="str">
        <x:v>Choose Cancel.</x:v>
      </x:c>
      <x:c r="F43" s="19" t="str">
        <x:v>Panel closes without profile/memory changes and trace records cancellation.</x:v>
      </x:c>
      <x:c r="G43" s="19" t="str">
        <x:v>P1</x:v>
      </x:c>
      <x:c r="H43" s="19" t="str">
        <x:v>Not Run</x:v>
      </x:c>
      <x:c r="I43" s="19" t="str"/>
      <x:c r="J43" s="19" t="str"/>
      <x:c r="K43" s="20" t="str"/>
      <x:c r="L43" s="19" t="str"/>
    </x:row>
    <x:row r="44">
      <x:c r="A44" s="19" t="str">
        <x:v>MT-040</x:v>
      </x:c>
      <x:c r="B44" s="19" t="str">
        <x:v>Trace</x:v>
      </x:c>
      <x:c r="C44" s="19" t="str">
        <x:v>Proposal generation trace</x:v>
      </x:c>
      <x:c r="D44" s="19" t="str">
        <x:v>Generate proposal</x:v>
      </x:c>
      <x:c r="E44" s="19" t="str">
        <x:v>Open diagnostics/trace view.</x:v>
      </x:c>
      <x:c r="F44" s="19" t="str">
        <x:v>Trace includes readiness evaluation and proposal validation with project/ticket ids and proposed files.</x:v>
      </x:c>
      <x:c r="G44" s="19" t="str">
        <x:v>P0</x:v>
      </x:c>
      <x:c r="H44" s="19" t="str">
        <x:v>Not Run</x:v>
      </x:c>
      <x:c r="I44" s="19" t="str"/>
      <x:c r="J44" s="19" t="str"/>
      <x:c r="K44" s="20" t="str"/>
      <x:c r="L44" s="19" t="str"/>
    </x:row>
    <x:row r="45">
      <x:c r="A45" s="19" t="str">
        <x:v>MT-041</x:v>
      </x:c>
      <x:c r="B45" s="19" t="str">
        <x:v>Trace</x:v>
      </x:c>
      <x:c r="C45" s="19" t="str">
        <x:v>Apply/build/test trace</x:v>
      </x:c>
      <x:c r="D45" s="19" t="str">
        <x:v>Apply proposal</x:v>
      </x:c>
      <x:c r="E45" s="19" t="str">
        <x:v>Open diagnostics/trace view.</x:v>
      </x:c>
      <x:c r="F45" s="19" t="str">
        <x:v>Trace includes approval, files written, build started/result, test started/result, and final cycle completion.</x:v>
      </x:c>
      <x:c r="G45" s="19" t="str">
        <x:v>P0</x:v>
      </x:c>
      <x:c r="H45" s="19" t="str">
        <x:v>Not Run</x:v>
      </x:c>
      <x:c r="I45" s="19" t="str"/>
      <x:c r="J45" s="19" t="str"/>
      <x:c r="K45" s="20" t="str"/>
      <x:c r="L45" s="19" t="str"/>
    </x:row>
    <x:row r="46">
      <x:c r="A46" s="19" t="str">
        <x:v>MT-042</x:v>
      </x:c>
      <x:c r="B46" s="19" t="str">
        <x:v>Trace</x:v>
      </x:c>
      <x:c r="C46" s="19" t="str">
        <x:v>Failure trace contains useful error</x:v>
      </x:c>
      <x:c r="D46" s="19" t="str">
        <x:v>Build or validation failure occurs</x:v>
      </x:c>
      <x:c r="E46" s="19" t="str">
        <x:v>Open trace entry.</x:v>
      </x:c>
      <x:c r="F46" s="19" t="str">
        <x:v>Error message is readable and points to validation/readiness/build cause.</x:v>
      </x:c>
      <x:c r="G46" s="19" t="str">
        <x:v>P1</x:v>
      </x:c>
      <x:c r="H46" s="19" t="str">
        <x:v>Not Run</x:v>
      </x:c>
      <x:c r="I46" s="19" t="str"/>
      <x:c r="J46" s="19" t="str"/>
      <x:c r="K46" s="20" t="str"/>
      <x:c r="L46" s="19" t="str"/>
    </x:row>
    <x:row r="47">
      <x:c r="A47" s="19" t="str">
        <x:v>MT-043</x:v>
      </x:c>
      <x:c r="B47" s="19" t="str">
        <x:v>Project Memory</x:v>
      </x:c>
      <x:c r="C47" s="19" t="str">
        <x:v>Decision creation from chat</x:v>
      </x:c>
      <x:c r="D47" s="19" t="str">
        <x:v>Chat contains architecture decision</x:v>
      </x:c>
      <x:c r="E47" s="19" t="str">
        <x:v>Create decision from chat and save.</x:v>
      </x:c>
      <x:c r="F47" s="19" t="str">
        <x:v>Decision persists with title/detail/category/status/source context where available.</x:v>
      </x:c>
      <x:c r="G47" s="19" t="str">
        <x:v>P1</x:v>
      </x:c>
      <x:c r="H47" s="19" t="str">
        <x:v>Not Run</x:v>
      </x:c>
      <x:c r="I47" s="19" t="str"/>
      <x:c r="J47" s="19" t="str"/>
      <x:c r="K47" s="20" t="str"/>
      <x:c r="L47" s="19" t="str"/>
    </x:row>
    <x:row r="48">
      <x:c r="A48" s="19" t="str">
        <x:v>MT-044</x:v>
      </x:c>
      <x:c r="B48" s="19" t="str">
        <x:v>Project Memory</x:v>
      </x:c>
      <x:c r="C48" s="19" t="str">
        <x:v>Manual memory editor basic flow</x:v>
      </x:c>
      <x:c r="D48" s="19" t="str">
        <x:v>Memory workspace open</x:v>
      </x:c>
      <x:c r="E48" s="19" t="str">
        <x:v>Create/edit Project Fact or Open Question.</x:v>
      </x:c>
      <x:c r="F48" s="19" t="str">
        <x:v>Typed context document saves, reloads, and influences readiness where relevant.</x:v>
      </x:c>
      <x:c r="G48" s="19" t="str">
        <x:v>P1</x:v>
      </x:c>
      <x:c r="H48" s="19" t="str">
        <x:v>Not Run</x:v>
      </x:c>
      <x:c r="I48" s="19" t="str"/>
      <x:c r="J48" s="19" t="str"/>
      <x:c r="K48" s="20" t="str"/>
      <x:c r="L48" s="19" t="str"/>
    </x:row>
    <x:row r="49">
      <x:c r="A49" s="19" t="str">
        <x:v>MT-045</x:v>
      </x:c>
      <x:c r="B49" s="19" t="str">
        <x:v>Project Memory</x:v>
      </x:c>
      <x:c r="C49" s="19" t="str">
        <x:v>Project summary visible</x:v>
      </x:c>
      <x:c r="D49" s="19" t="str">
        <x:v>Project has summary</x:v>
      </x:c>
      <x:c r="E49" s="19" t="str">
        <x:v>Open overview/profile/memory surfaces.</x:v>
      </x:c>
      <x:c r="F49" s="19" t="str">
        <x:v>Summary is visible and distinguishable from tickets and decisions.</x:v>
      </x:c>
      <x:c r="G49" s="19" t="str">
        <x:v>P2</x:v>
      </x:c>
      <x:c r="H49" s="19" t="str">
        <x:v>Not Run</x:v>
      </x:c>
      <x:c r="I49" s="19" t="str"/>
      <x:c r="J49" s="19" t="str"/>
      <x:c r="K49" s="20" t="str"/>
      <x:c r="L49" s="19" t="str"/>
    </x:row>
    <x:row r="50">
      <x:c r="A50" s="19" t="str">
        <x:v>MT-046</x:v>
      </x:c>
      <x:c r="B50" s="19" t="str">
        <x:v>Context Export</x:v>
      </x:c>
      <x:c r="C50" s="19" t="str">
        <x:v>Export context pack</x:v>
      </x:c>
      <x:c r="D50" s="19" t="str">
        <x:v>Project has profile, tickets, memory, index status</x:v>
      </x:c>
      <x:c r="E50" s="19" t="str">
        <x:v>Run Export Project Context Pack.</x:v>
      </x:c>
      <x:c r="F50" s="19" t="str">
        <x:v>Markdown context pack is written and includes index status, profile, decisions, documents, and recent tickets.</x:v>
      </x:c>
      <x:c r="G50" s="19" t="str">
        <x:v>P1</x:v>
      </x:c>
      <x:c r="H50" s="19" t="str">
        <x:v>Not Run</x:v>
      </x:c>
      <x:c r="I50" s="19" t="str"/>
      <x:c r="J50" s="19" t="str"/>
      <x:c r="K50" s="20" t="str"/>
      <x:c r="L50" s="19" t="str"/>
    </x:row>
    <x:row r="51">
      <x:c r="A51" s="19" t="str">
        <x:v>MT-047</x:v>
      </x:c>
      <x:c r="B51" s="19" t="str">
        <x:v>BookSeller Boundary</x:v>
      </x:c>
      <x:c r="C51" s="19" t="str">
        <x:v>BookSeller remains external sample</x:v>
      </x:c>
      <x:c r="D51" s="19" t="str">
        <x:v>BookSeller sandbox configured outside IronDev product repo</x:v>
      </x:c>
      <x:c r="E51" s="19" t="str">
        <x:v>Open/import BookSeller as project.</x:v>
      </x:c>
      <x:c r="F51" s="19" t="str">
        <x:v>IronDev indexes BookSeller as external project and does not treat it as product source.</x:v>
      </x:c>
      <x:c r="G51" s="19" t="str">
        <x:v>P1</x:v>
      </x:c>
      <x:c r="H51" s="19" t="str">
        <x:v>Not Run</x:v>
      </x:c>
      <x:c r="I51" s="19" t="str"/>
      <x:c r="J51" s="19" t="str"/>
      <x:c r="K51" s="20" t="str"/>
      <x:c r="L51" s="19" t="str"/>
    </x:row>
    <x:row r="52">
      <x:c r="A52" s="19" t="str">
        <x:v>MT-048</x:v>
      </x:c>
      <x:c r="B52" s="19" t="str">
        <x:v>Safety</x:v>
      </x:c>
      <x:c r="C52" s="19" t="str">
        <x:v>Proposal-only mode blocks apply</x:v>
      </x:c>
      <x:c r="D52" s="19" t="str">
        <x:v>AllowBuilderApply false</x:v>
      </x:c>
      <x:c r="E52" s="19" t="str">
        <x:v>Generate valid proposal and inspect Apply button.</x:v>
      </x:c>
      <x:c r="F52" s="19" t="str">
        <x:v>Apply stays disabled and mode label explains proposal-only mode.</x:v>
      </x:c>
      <x:c r="G52" s="19" t="str">
        <x:v>P0</x:v>
      </x:c>
      <x:c r="H52" s="19" t="str">
        <x:v>Not Run</x:v>
      </x:c>
      <x:c r="I52" s="19" t="str"/>
      <x:c r="J52" s="19" t="str"/>
      <x:c r="K52" s="20" t="str"/>
      <x:c r="L52" s="19" t="str"/>
    </x:row>
    <x:row r="53">
      <x:c r="A53" s="19" t="str">
        <x:v>MT-049</x:v>
      </x:c>
      <x:c r="B53" s="19" t="str">
        <x:v>Safety</x:v>
      </x:c>
      <x:c r="C53" s="19" t="str">
        <x:v>No writes before approval</x:v>
      </x:c>
      <x:c r="D53" s="19" t="str">
        <x:v>Valid proposal generated</x:v>
      </x:c>
      <x:c r="E53" s="19" t="str">
        <x:v>Inspect files before clicking apply.</x:v>
      </x:c>
      <x:c r="F53" s="19" t="str">
        <x:v>No proposed file content is written until explicit apply approval.</x:v>
      </x:c>
      <x:c r="G53" s="19" t="str">
        <x:v>P0</x:v>
      </x:c>
      <x:c r="H53" s="19" t="str">
        <x:v>Not Run</x:v>
      </x:c>
      <x:c r="I53" s="19" t="str"/>
      <x:c r="J53" s="19" t="str"/>
      <x:c r="K53" s="20" t="str"/>
      <x:c r="L53" s="19" t="str"/>
    </x:row>
    <x:row r="54">
      <x:c r="A54" s="19" t="str">
        <x:v>MT-050</x:v>
      </x:c>
      <x:c r="B54" s="19" t="str">
        <x:v>Safety</x:v>
      </x:c>
      <x:c r="C54" s="19" t="str">
        <x:v>Recover from failed apply</x:v>
      </x:c>
      <x:c r="D54" s="19" t="str">
        <x:v>Apply fails validation or path safety</x:v>
      </x:c>
      <x:c r="E54" s="19" t="str">
        <x:v>Attempt apply.</x:v>
      </x:c>
      <x:c r="F54" s="19" t="str">
        <x:v>Status explains failure, build/test do not run when unsafe, user can regenerate or fix profile.</x:v>
      </x:c>
      <x:c r="G54" s="19" t="str">
        <x:v>P0</x:v>
      </x:c>
      <x:c r="H54" s="19" t="str">
        <x:v>Not Run</x:v>
      </x:c>
      <x:c r="I54" s="19" t="str"/>
      <x:c r="J54" s="19" t="str"/>
      <x:c r="K54" s="20" t="str"/>
      <x:c r="L54" s="19" t="str"/>
    </x:row>
    <x:row r="55">
      <x:c r="A55" s="19" t="str">
        <x:v>MT-051</x:v>
      </x:c>
      <x:c r="B55" s="19" t="str">
        <x:v>UI/Product Feel</x:v>
      </x:c>
      <x:c r="C55" s="19" t="str">
        <x:v>Primary workflow discoverability</x:v>
      </x:c>
      <x:c r="D55" s="19" t="str">
        <x:v>Fresh alpha user</x:v>
      </x:c>
      <x:c r="E55" s="19" t="str">
        <x:v>Create/import project; index; chat; ticket; build readiness; proposal.</x:v>
      </x:c>
      <x:c r="F55" s="19" t="str">
        <x:v>User can complete path without hidden commands or developer explanation.</x:v>
      </x:c>
      <x:c r="G55" s="19" t="str">
        <x:v>P1</x:v>
      </x:c>
      <x:c r="H55" s="19" t="str">
        <x:v>Not Run</x:v>
      </x:c>
      <x:c r="I55" s="19" t="str"/>
      <x:c r="J55" s="19" t="str"/>
      <x:c r="K55" s="20" t="str"/>
      <x:c r="L55" s="19" t="str"/>
    </x:row>
    <x:row r="56">
      <x:c r="A56" s="19" t="str">
        <x:v>MT-052</x:v>
      </x:c>
      <x:c r="B56" s="19" t="str">
        <x:v>UI/Product Feel</x:v>
      </x:c>
      <x:c r="C56" s="19" t="str">
        <x:v>Status callouts are not contradictory</x:v>
      </x:c>
      <x:c r="D56" s="19" t="str">
        <x:v>Switch across Overview, Tickets, Builder</x:v>
      </x:c>
      <x:c r="E56" s="19" t="str">
        <x:v>Observe index/readiness callouts.</x:v>
      </x:c>
      <x:c r="F56" s="19" t="str">
        <x:v>Status and callouts agree across workspaces.</x:v>
      </x:c>
      <x:c r="G56" s="19" t="str">
        <x:v>P1</x:v>
      </x:c>
      <x:c r="H56" s="19" t="str">
        <x:v>Not Run</x:v>
      </x:c>
      <x:c r="I56" s="19" t="str"/>
      <x:c r="J56" s="19" t="str"/>
      <x:c r="K56" s="20" t="str"/>
      <x:c r="L56" s="19" t="str"/>
    </x:row>
    <x:row r="57">
      <x:c r="A57" s="19" t="str">
        <x:v>MT-053</x:v>
      </x:c>
      <x:c r="B57" s="19" t="str">
        <x:v>UI/Product Feel</x:v>
      </x:c>
      <x:c r="C57" s="19" t="str">
        <x:v>Long paths and diffs remain readable</x:v>
      </x:c>
      <x:c r="D57" s="19" t="str">
        <x:v>Project path and filenames are long</x:v>
      </x:c>
      <x:c r="E57" s="19" t="str">
        <x:v>Open header, project hub, builder diff.</x:v>
      </x:c>
      <x:c r="F57" s="19" t="str">
        <x:v>Text is trimmed/wrapped cleanly without overlap.</x:v>
      </x:c>
      <x:c r="G57" s="19" t="str">
        <x:v>P2</x:v>
      </x:c>
      <x:c r="H57" s="19" t="str">
        <x:v>Not Run</x:v>
      </x:c>
      <x:c r="I57" s="19" t="str"/>
      <x:c r="J57" s="19" t="str"/>
      <x:c r="K57" s="20" t="str"/>
      <x:c r="L57" s="19" t="str"/>
    </x:row>
    <x:row r="58">
      <x:c r="A58" s="19" t="str">
        <x:v>MT-054</x:v>
      </x:c>
      <x:c r="B58" s="19" t="str">
        <x:v>Regression</x:v>
      </x:c>
      <x:c r="C58" s="19" t="str">
        <x:v>Ready index persists after app restart</x:v>
      </x:c>
      <x:c r="D58" s="19" t="str">
        <x:v>Project indexed Ready</x:v>
      </x:c>
      <x:c r="E58" s="19" t="str">
        <x:v>Restart app and reopen project.</x:v>
      </x:c>
      <x:c r="F58" s="19" t="str">
        <x:v>Status remains Ready with last indexed and file count intact.</x:v>
      </x:c>
      <x:c r="G58" s="19" t="str">
        <x:v>P0</x:v>
      </x:c>
      <x:c r="H58" s="19" t="str">
        <x:v>Not Run</x:v>
      </x:c>
      <x:c r="I58" s="19" t="str"/>
      <x:c r="J58" s="19" t="str"/>
      <x:c r="K58" s="20" t="str"/>
      <x:c r="L58" s="19" t="str"/>
    </x:row>
    <x:row r="59">
      <x:c r="A59" s="19" t="str">
        <x:v>MT-055</x:v>
      </x:c>
      <x:c r="B59" s="19" t="str">
        <x:v>Regression</x:v>
      </x:c>
      <x:c r="C59" s="19" t="str">
        <x:v>Stale index persists after app restart</x:v>
      </x:c>
      <x:c r="D59" s="19" t="str">
        <x:v>Project marked Stale Index</x:v>
      </x:c>
      <x:c r="E59" s="19" t="str">
        <x:v>Restart app and reopen project.</x:v>
      </x:c>
      <x:c r="F59" s="19" t="str">
        <x:v>Status remains Stale Index and Index Now is available.</x:v>
      </x:c>
      <x:c r="G59" s="19" t="str">
        <x:v>P0</x:v>
      </x:c>
      <x:c r="H59" s="19" t="str">
        <x:v>Not Run</x:v>
      </x:c>
      <x:c r="I59" s="19" t="str"/>
      <x:c r="J59" s="19" t="str"/>
      <x:c r="K59" s="20" t="str"/>
      <x:c r="L59" s="19" t="str"/>
    </x:row>
  </x:sheetData>
  <x:mergeCells>
    <x:mergeCell ref="A1:L1"/>
    <x:mergeCell ref="A2:L2"/>
  </x:mergeCells>
  <x:conditionalFormatting sqref="H5:H59">
    <x:cfRule type="containsText" dxfId="4" priority="1" operator="containsText" text="Pass"/>
    <x:cfRule type="containsText" dxfId="5" priority="2" operator="containsText" text="Fail"/>
    <x:cfRule type="containsText" dxfId="6" priority="3" operator="containsText" text="Blocked"/>
    <x:cfRule type="containsText" dxfId="7" priority="4" operator="containsText" text="In Progress"/>
  </x:conditionalFormatting>
  <x:dataValidations count="3">
    <x:dataValidation type="list" sqref="B5:B59">
      <x:formula1>"Project Wizard,Project Profile,Indexing,Chat Context,Tickets,Build Readiness,Builder Proposal,Diff Review,Sandbox Apply,Build/Test,Trace,Architecture Reconciliation,Project Memory,Context Export,BookSeller Boundary,Safety"</x:formula1>
    </x:dataValidation>
    <x:dataValidation type="list" sqref="G5:G59">
      <x:formula1>"P0,P1,P2,P3"</x:formula1>
    </x:dataValidation>
    <x:dataValidation type="list" sqref="H5:H59">
      <x:formula1>"Not Run,Blocked,Fail,Pass,In Progress,Not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c63b86f91b34e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27.59000015258789" hidden="0" customWidth="1"/>
    <x:col min="3" max="3" width="63.93000030517578" hidden="0" customWidth="1"/>
    <x:col min="4" max="4" width="39.70000076293945" hidden="0" customWidth="1"/>
    <x:col min="5" max="5" width="10.09000015258789" hidden="0" customWidth="1"/>
    <x:col min="6" max="6" width="14.800000190734863" hidden="0" customWidth="1"/>
    <x:col min="7" max="7" width="16.149999618530273" hidden="0" customWidth="1"/>
    <x:col min="8" max="8" width="23.549999237060547" hidden="0" customWidth="1"/>
    <x:col min="9" max="9" width="34.31999969482422" hidden="0" customWidth="1"/>
  </x:cols>
  <x:sheetData>
    <x:row r="1" ht="25.5" customHeight="1">
      <x:c r="A1" s="4" t="str">
        <x:v>End-to-End Workflow Status</x:v>
      </x:c>
    </x:row>
    <x:row r="2" ht="31.5" customHeight="1">
      <x:c r="A2" s="7" t="str">
        <x:v>Scenario-level test runs that prove the product spine is boring and repeatable before Alpha 0.1 external testing.</x:v>
      </x:c>
    </x:row>
    <x:row r="4">
      <x:c r="A4" s="12" t="str">
        <x:v>ID</x:v>
      </x:c>
      <x:c r="B4" s="12" t="str">
        <x:v>Workflow</x:v>
      </x:c>
      <x:c r="C4" s="12" t="str">
        <x:v>Execution Path</x:v>
      </x:c>
      <x:c r="D4" s="12" t="str">
        <x:v>Expected Outcome</x:v>
      </x:c>
      <x:c r="E4" s="12" t="str">
        <x:v>Priority</x:v>
      </x:c>
      <x:c r="F4" s="12" t="str">
        <x:v>Status</x:v>
      </x:c>
      <x:c r="G4" s="12" t="str">
        <x:v>Owner</x:v>
      </x:c>
      <x:c r="H4" s="12" t="str">
        <x:v>Evidence Link</x:v>
      </x:c>
      <x:c r="I4" s="12" t="str">
        <x:v>Notes</x:v>
      </x:c>
    </x:row>
    <x:row r="5">
      <x:c r="A5" s="19" t="str">
        <x:v>WF-001</x:v>
      </x:c>
      <x:c r="B5" s="19" t="str">
        <x:v>BookSeller happy path</x:v>
      </x:c>
      <x:c r="C5" s="19" t="str">
        <x:v>Import BookSeller, detect profile, index, chat, create ticket, evaluate readiness, generate proposal, review diff.</x:v>
      </x:c>
      <x:c r="D5" s="19" t="str">
        <x:v>Ready for apply decision</x:v>
      </x:c>
      <x:c r="E5" s="19" t="str">
        <x:v>P0</x:v>
      </x:c>
      <x:c r="F5" s="19" t="str">
        <x:v>Not Run</x:v>
      </x:c>
      <x:c r="G5" s="19" t="str"/>
      <x:c r="H5" s="19" t="str"/>
      <x:c r="I5" s="19" t="str"/>
    </x:row>
    <x:row r="6">
      <x:c r="A6" s="19" t="str">
        <x:v>WF-002</x:v>
      </x:c>
      <x:c r="B6" s="19" t="str">
        <x:v>Full apply/build/test</x:v>
      </x:c>
      <x:c r="C6" s="19" t="str">
        <x:v>Starting from WF-001 valid proposal, approve apply, run build and tests, inspect trace.</x:v>
      </x:c>
      <x:c r="D6" s="19" t="str">
        <x:v>Files written, output captured, index marked stale</x:v>
      </x:c>
      <x:c r="E6" s="19" t="str">
        <x:v>P0</x:v>
      </x:c>
      <x:c r="F6" s="19" t="str">
        <x:v>Not Run</x:v>
      </x:c>
      <x:c r="G6" s="19" t="str"/>
      <x:c r="H6" s="19" t="str"/>
      <x:c r="I6" s="19" t="str"/>
    </x:row>
    <x:row r="7">
      <x:c r="A7" s="19" t="str">
        <x:v>WF-003</x:v>
      </x:c>
      <x:c r="B7" s="19" t="str">
        <x:v>Stale context recovery</x:v>
      </x:c>
      <x:c r="C7" s="19" t="str">
        <x:v>After WF-002, verify stale warning, re-index project, regenerate readiness/proposal.</x:v>
      </x:c>
      <x:c r="D7" s="19" t="str">
        <x:v>Ready restored after index</x:v>
      </x:c>
      <x:c r="E7" s="19" t="str">
        <x:v>P0</x:v>
      </x:c>
      <x:c r="F7" s="19" t="str">
        <x:v>Not Run</x:v>
      </x:c>
      <x:c r="G7" s="19" t="str"/>
      <x:c r="H7" s="19" t="str"/>
      <x:c r="I7" s="19" t="str"/>
    </x:row>
    <x:row r="8">
      <x:c r="A8" s="19" t="str">
        <x:v>WF-004</x:v>
      </x:c>
      <x:c r="B8" s="19" t="str">
        <x:v>Architecture mismatch recovery</x:v>
      </x:c>
      <x:c r="C8" s="19" t="str">
        <x:v>Generate proposal with test framework mismatch, apply, inspect reconciliation, approve profile update.</x:v>
      </x:c>
      <x:c r="D8" s="19" t="str">
        <x:v>Profile/memory reconcile flow works</x:v>
      </x:c>
      <x:c r="E8" s="19" t="str">
        <x:v>P0</x:v>
      </x:c>
      <x:c r="F8" s="19" t="str">
        <x:v>Not Run</x:v>
      </x:c>
      <x:c r="G8" s="19" t="str"/>
      <x:c r="H8" s="19" t="str"/>
      <x:c r="I8" s="19" t="str"/>
    </x:row>
    <x:row r="9">
      <x:c r="A9" s="19" t="str">
        <x:v>WF-005</x:v>
      </x:c>
      <x:c r="B9" s="19" t="str">
        <x:v>Limited context ticket</x:v>
      </x:c>
      <x:c r="C9" s="19" t="str">
        <x:v>Use unindexed project, chat, create ticket, choose continue without index.</x:v>
      </x:c>
      <x:c r="D9" s="19" t="str">
        <x:v>Ticket is generated with limited-context warning</x:v>
      </x:c>
      <x:c r="E9" s="19" t="str">
        <x:v>P1</x:v>
      </x:c>
      <x:c r="F9" s="19" t="str">
        <x:v>Not Run</x:v>
      </x:c>
      <x:c r="G9" s="19" t="str"/>
      <x:c r="H9" s="19" t="str"/>
      <x:c r="I9" s="19" t="str"/>
    </x:row>
    <x:row r="10">
      <x:c r="A10" s="19" t="str">
        <x:v>WF-006</x:v>
      </x:c>
      <x:c r="B10" s="19" t="str">
        <x:v>Safety refusal</x:v>
      </x:c>
      <x:c r="C10" s="19" t="str">
        <x:v>Attempt proposal that writes outside SafeWriteRoot.</x:v>
      </x:c>
      <x:c r="D10" s="19" t="str">
        <x:v>Apply blocked before write</x:v>
      </x:c>
      <x:c r="E10" s="19" t="str">
        <x:v>P0</x:v>
      </x:c>
      <x:c r="F10" s="19" t="str">
        <x:v>Not Run</x:v>
      </x:c>
      <x:c r="G10" s="19" t="str"/>
      <x:c r="H10" s="19" t="str"/>
      <x:c r="I10" s="19" t="str"/>
    </x:row>
  </x:sheetData>
  <x:mergeCells>
    <x:mergeCell ref="A1:L1"/>
    <x:mergeCell ref="A2:L2"/>
  </x:mergeCells>
  <x:conditionalFormatting sqref="F5:F10">
    <x:cfRule type="containsText" dxfId="8" priority="1" operator="containsText" text="Pass"/>
    <x:cfRule type="containsText" dxfId="9" priority="2" operator="containsText" text="Fail"/>
    <x:cfRule type="containsText" dxfId="10" priority="3" operator="containsText" text="Blocked"/>
    <x:cfRule type="containsText" dxfId="11" priority="4" operator="containsText" text="In Progress"/>
  </x:conditionalFormatting>
  <x:dataValidations count="2">
    <x:dataValidation type="list" sqref="E5:E10">
      <x:formula1>"P0,P1,P2,P3"</x:formula1>
    </x:dataValidation>
    <x:dataValidation type="list" sqref="F5:F10">
      <x:formula1>"Not Run,Blocked,Fail,Pass,In Progress,Not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5f268303304d0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30.280000686645508" hidden="0" customWidth="1"/>
    <x:col min="3" max="3" width="37.0099983215332" hidden="0" customWidth="1"/>
    <x:col min="4" max="4" width="47.779998779296875" hidden="0" customWidth="1"/>
    <x:col min="5" max="5" width="47.779998779296875" hidden="0" customWidth="1"/>
    <x:col min="6" max="6" width="14.800000190734863" hidden="0" customWidth="1"/>
    <x:col min="7" max="7" width="16.149999618530273" hidden="0" customWidth="1"/>
    <x:col min="8" max="8" width="23.549999237060547" hidden="0" customWidth="1"/>
    <x:col min="9" max="9" width="34.31999969482422" hidden="0" customWidth="1"/>
  </x:cols>
  <x:sheetData>
    <x:row r="1" ht="25.5" customHeight="1">
      <x:c r="A1" s="4" t="str">
        <x:v>Stale Index Regression Tests</x:v>
      </x:c>
    </x:row>
    <x:row r="2" ht="31.5" customHeight="1">
      <x:c r="A2" s="7" t="str">
        <x:v>Focused coverage for the highest-priority stabilisation move: every context-dependent action must reveal or block stale index usage.</x:v>
      </x:c>
    </x:row>
    <x:row r="4">
      <x:c r="A4" s="12" t="str">
        <x:v>ID</x:v>
      </x:c>
      <x:c r="B4" s="12" t="str">
        <x:v>Check</x:v>
      </x:c>
      <x:c r="C4" s="12" t="str">
        <x:v>Precondition</x:v>
      </x:c>
      <x:c r="D4" s="12" t="str">
        <x:v>Steps</x:v>
      </x:c>
      <x:c r="E4" s="12" t="str">
        <x:v>Expected Result</x:v>
      </x:c>
      <x:c r="F4" s="12" t="str">
        <x:v>Status</x:v>
      </x:c>
      <x:c r="G4" s="12" t="str">
        <x:v>Owner</x:v>
      </x:c>
      <x:c r="H4" s="12" t="str">
        <x:v>Evidence Link</x:v>
      </x:c>
      <x:c r="I4" s="12" t="str">
        <x:v>Notes</x:v>
      </x:c>
    </x:row>
    <x:row r="5">
      <x:c r="A5" s="19" t="str">
        <x:v>SI-001</x:v>
      </x:c>
      <x:c r="B5" s="19" t="str">
        <x:v>Initial Ready baseline</x:v>
      </x:c>
      <x:c r="C5" s="19" t="str">
        <x:v>Project indexed and IndexedFileCount &gt; 0</x:v>
      </x:c>
      <x:c r="D5" s="19" t="str">
        <x:v>Open Overview and status pill.</x:v>
      </x:c>
      <x:c r="E5" s="19" t="str">
        <x:v>Status shows Ready and no stale warning.</x:v>
      </x:c>
      <x:c r="F5" s="19" t="str">
        <x:v>Not Run</x:v>
      </x:c>
      <x:c r="G5" s="19" t="str"/>
      <x:c r="H5" s="19" t="str"/>
      <x:c r="I5" s="19" t="str"/>
    </x:row>
    <x:row r="6">
      <x:c r="A6" s="19" t="str">
        <x:v>SI-002</x:v>
      </x:c>
      <x:c r="B6" s="19" t="str">
        <x:v>Apply marks stale</x:v>
      </x:c>
      <x:c r="C6" s="19" t="str">
        <x:v>Valid proposal applied successfully</x:v>
      </x:c>
      <x:c r="D6" s="19" t="str">
        <x:v>Observe shell status and Overview after apply.</x:v>
      </x:c>
      <x:c r="E6" s="19" t="str">
        <x:v>Status shows Stale Index.</x:v>
      </x:c>
      <x:c r="F6" s="19" t="str">
        <x:v>Not Run</x:v>
      </x:c>
      <x:c r="G6" s="19" t="str"/>
      <x:c r="H6" s="19" t="str"/>
      <x:c r="I6" s="19" t="str"/>
    </x:row>
    <x:row r="7">
      <x:c r="A7" s="19" t="str">
        <x:v>SI-003</x:v>
      </x:c>
      <x:c r="B7" s="19" t="str">
        <x:v>Builder blocks next action</x:v>
      </x:c>
      <x:c r="C7" s="19" t="str">
        <x:v>Project status Stale Index</x:v>
      </x:c>
      <x:c r="D7" s="19" t="str">
        <x:v>Attempt to generate or apply another proposal.</x:v>
      </x:c>
      <x:c r="E7" s="19" t="str">
        <x:v>Readiness blocks with NeedsReindex.</x:v>
      </x:c>
      <x:c r="F7" s="19" t="str">
        <x:v>Not Run</x:v>
      </x:c>
      <x:c r="G7" s="19" t="str"/>
      <x:c r="H7" s="19" t="str"/>
      <x:c r="I7" s="19" t="str"/>
    </x:row>
    <x:row r="8">
      <x:c r="A8" s="19" t="str">
        <x:v>SI-004</x:v>
      </x:c>
      <x:c r="B8" s="19" t="str">
        <x:v>Tickets know context is limited</x:v>
      </x:c>
      <x:c r="C8" s="19" t="str">
        <x:v>Project status Stale Index</x:v>
      </x:c>
      <x:c r="D8" s="19" t="str">
        <x:v>Create ticket from chat.</x:v>
      </x:c>
      <x:c r="E8" s="19" t="str">
        <x:v>Ticket preflight treats context as limited or asks to index first.</x:v>
      </x:c>
      <x:c r="F8" s="19" t="str">
        <x:v>Not Run</x:v>
      </x:c>
      <x:c r="G8" s="19" t="str"/>
      <x:c r="H8" s="19" t="str"/>
      <x:c r="I8" s="19" t="str"/>
    </x:row>
    <x:row r="9">
      <x:c r="A9" s="19" t="str">
        <x:v>SI-005</x:v>
      </x:c>
      <x:c r="B9" s="19" t="str">
        <x:v>Index Now visible</x:v>
      </x:c>
      <x:c r="C9" s="19" t="str">
        <x:v>Project status Stale Index</x:v>
      </x:c>
      <x:c r="D9" s="19" t="str">
        <x:v>Open status pill.</x:v>
      </x:c>
      <x:c r="E9" s="19" t="str">
        <x:v>Index Now is visible and actionable.</x:v>
      </x:c>
      <x:c r="F9" s="19" t="str">
        <x:v>Not Run</x:v>
      </x:c>
      <x:c r="G9" s="19" t="str"/>
      <x:c r="H9" s="19" t="str"/>
      <x:c r="I9" s="19" t="str"/>
    </x:row>
    <x:row r="10">
      <x:c r="A10" s="19" t="str">
        <x:v>SI-006</x:v>
      </x:c>
      <x:c r="B10" s="19" t="str">
        <x:v>Re-index clears stale</x:v>
      </x:c>
      <x:c r="C10" s="19" t="str">
        <x:v>Project status Stale Index</x:v>
      </x:c>
      <x:c r="D10" s="19" t="str">
        <x:v>Click Index Now and wait.</x:v>
      </x:c>
      <x:c r="E10" s="19" t="str">
        <x:v>Status returns Ready when indexing succeeds.</x:v>
      </x:c>
      <x:c r="F10" s="19" t="str">
        <x:v>Not Run</x:v>
      </x:c>
      <x:c r="G10" s="19" t="str"/>
      <x:c r="H10" s="19" t="str"/>
      <x:c r="I10" s="19" t="str"/>
    </x:row>
    <x:row r="11">
      <x:c r="A11" s="19" t="str">
        <x:v>SI-007</x:v>
      </x:c>
      <x:c r="B11" s="19" t="str">
        <x:v>Trace records stale mark</x:v>
      </x:c>
      <x:c r="C11" s="19" t="str">
        <x:v>Apply completed</x:v>
      </x:c>
      <x:c r="D11" s="19" t="str">
        <x:v>Open trace/diagnostics.</x:v>
      </x:c>
      <x:c r="E11" s="19" t="str">
        <x:v>FilesWritten trace says project index marked stale.</x:v>
      </x:c>
      <x:c r="F11" s="19" t="str">
        <x:v>Not Run</x:v>
      </x:c>
      <x:c r="G11" s="19" t="str"/>
      <x:c r="H11" s="19" t="str"/>
      <x:c r="I11" s="19" t="str"/>
    </x:row>
  </x:sheetData>
  <x:mergeCells>
    <x:mergeCell ref="A1:L1"/>
    <x:mergeCell ref="A2:L2"/>
  </x:mergeCells>
  <x:conditionalFormatting sqref="F5:F11">
    <x:cfRule type="containsText" dxfId="12" priority="1" operator="containsText" text="Pass"/>
    <x:cfRule type="containsText" dxfId="13" priority="2" operator="containsText" text="Fail"/>
    <x:cfRule type="containsText" dxfId="14" priority="3" operator="containsText" text="Blocked"/>
    <x:cfRule type="containsText" dxfId="15" priority="4" operator="containsText" text="In Progress"/>
  </x:conditionalFormatting>
  <x:dataValidations count="1">
    <x:dataValidation type="list" sqref="F5:F11">
      <x:formula1>"Not Run,Blocked,Fail,Pass,In Progress,Not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98f0d156c18426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09000015258789" hidden="0" customWidth="1"/>
    <x:col min="2" max="2" width="15.479999542236328" hidden="0" customWidth="1"/>
    <x:col min="3" max="3" width="12.789999961853027" hidden="0" customWidth="1"/>
    <x:col min="4" max="4" width="31.6299991607666" hidden="0" customWidth="1"/>
    <x:col min="5" max="5" width="47.779998779296875" hidden="0" customWidth="1"/>
    <x:col min="6" max="6" width="34.31999969482422" hidden="0" customWidth="1"/>
    <x:col min="7" max="7" width="34.31999969482422" hidden="0" customWidth="1"/>
    <x:col min="8" max="8" width="16.149999618530273" hidden="0" customWidth="1"/>
    <x:col min="9" max="9" width="15.479999542236328" hidden="0" customWidth="1"/>
    <x:col min="10" max="10" width="34.31999969482422" hidden="0" customWidth="1"/>
  </x:cols>
  <x:sheetData>
    <x:row r="1" ht="25.5" customHeight="1">
      <x:c r="A1" s="4" t="str">
        <x:v>Defect Log</x:v>
      </x:c>
    </x:row>
    <x:row r="2" ht="31.5" customHeight="1">
      <x:c r="A2" s="7" t="str">
        <x:v>Use this as the lightweight bug triage sheet for manual test failures found during Alpha 0.1 dogfood.</x:v>
      </x:c>
    </x:row>
    <x:row r="4">
      <x:c r="A4" s="12" t="str">
        <x:v>ID</x:v>
      </x:c>
      <x:c r="B4" s="12" t="str">
        <x:v>Found In Test</x:v>
      </x:c>
      <x:c r="C4" s="12" t="str">
        <x:v>Severity</x:v>
      </x:c>
      <x:c r="D4" s="12" t="str">
        <x:v>Title</x:v>
      </x:c>
      <x:c r="E4" s="12" t="str">
        <x:v>Repro Steps</x:v>
      </x:c>
      <x:c r="F4" s="12" t="str">
        <x:v>Expected</x:v>
      </x:c>
      <x:c r="G4" s="12" t="str">
        <x:v>Actual</x:v>
      </x:c>
      <x:c r="H4" s="12" t="str">
        <x:v>Owner</x:v>
      </x:c>
      <x:c r="I4" s="12" t="str">
        <x:v>Status</x:v>
      </x:c>
      <x:c r="J4" s="12" t="str">
        <x:v>Notes</x:v>
      </x:c>
    </x:row>
    <x:row r="5">
      <x:c r="A5" s="19" t="str">
        <x:v>D-001</x:v>
      </x:c>
      <x:c r="B5" s="19" t="str"/>
      <x:c r="C5" s="19" t="str"/>
      <x:c r="D5" s="19" t="str"/>
      <x:c r="E5" s="19" t="str"/>
      <x:c r="F5" s="19" t="str"/>
      <x:c r="G5" s="19" t="str"/>
      <x:c r="H5" s="19" t="str"/>
      <x:c r="I5" s="19" t="str"/>
      <x:c r="J5" s="19" t="str"/>
    </x:row>
    <x:row r="6">
      <x:c r="A6" s="19" t="str">
        <x:v>D-002</x:v>
      </x:c>
      <x:c r="B6" s="19" t="str"/>
      <x:c r="C6" s="19" t="str"/>
      <x:c r="D6" s="19" t="str"/>
      <x:c r="E6" s="19" t="str"/>
      <x:c r="F6" s="19" t="str"/>
      <x:c r="G6" s="19" t="str"/>
      <x:c r="H6" s="19" t="str"/>
      <x:c r="I6" s="19" t="str"/>
      <x:c r="J6" s="19" t="str"/>
    </x:row>
    <x:row r="7">
      <x:c r="A7" s="19" t="str">
        <x:v>D-003</x:v>
      </x:c>
      <x:c r="B7" s="19" t="str"/>
      <x:c r="C7" s="19" t="str"/>
      <x:c r="D7" s="19" t="str"/>
      <x:c r="E7" s="19" t="str"/>
      <x:c r="F7" s="19" t="str"/>
      <x:c r="G7" s="19" t="str"/>
      <x:c r="H7" s="19" t="str"/>
      <x:c r="I7" s="19" t="str"/>
      <x:c r="J7" s="19" t="str"/>
    </x:row>
    <x:row r="8">
      <x:c r="A8" s="19" t="str">
        <x:v>D-004</x:v>
      </x:c>
      <x:c r="B8" s="19" t="str"/>
      <x:c r="C8" s="19" t="str"/>
      <x:c r="D8" s="19" t="str"/>
      <x:c r="E8" s="19" t="str"/>
      <x:c r="F8" s="19" t="str"/>
      <x:c r="G8" s="19" t="str"/>
      <x:c r="H8" s="19" t="str"/>
      <x:c r="I8" s="19" t="str"/>
      <x:c r="J8" s="19" t="str"/>
    </x:row>
    <x:row r="9">
      <x:c r="A9" s="19" t="str">
        <x:v>D-005</x:v>
      </x:c>
      <x:c r="B9" s="19" t="str"/>
      <x:c r="C9" s="19" t="str"/>
      <x:c r="D9" s="19" t="str"/>
      <x:c r="E9" s="19" t="str"/>
      <x:c r="F9" s="19" t="str"/>
      <x:c r="G9" s="19" t="str"/>
      <x:c r="H9" s="19" t="str"/>
      <x:c r="I9" s="19" t="str"/>
      <x:c r="J9" s="19" t="str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</x:row>
  </x:sheetData>
  <x:mergeCells>
    <x:mergeCell ref="A1:L1"/>
    <x:mergeCell ref="A2:L2"/>
  </x:mergeCells>
  <x:dataValidations count="2">
    <x:dataValidation type="list" sqref="C5:C100">
      <x:formula1>"Critical,High,Medium,Low"</x:formula1>
    </x:dataValidation>
    <x:dataValidation type="list" sqref="I5:I100">
      <x:formula1>"Open,Triaged,Fixed,Verified,Won't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38541a7432439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1999969482422" hidden="0" customWidth="1"/>
    <x:col min="2" max="2" width="18.170000076293945" hidden="0" customWidth="1"/>
    <x:col min="3" max="3" width="15.479999542236328" hidden="0" customWidth="1"/>
    <x:col min="4" max="4" width="34.31999969482422" hidden="0" customWidth="1"/>
    <x:col min="5" max="5" width="12.789999961853027" hidden="0" customWidth="1"/>
    <x:col min="6" max="6" width="47.779998779296875" hidden="0" customWidth="1"/>
  </x:cols>
  <x:sheetData>
    <x:row r="1" ht="25.5" customHeight="1">
      <x:c r="A1" s="4" t="str">
        <x:v>Alpha 0.1 Manual Sign-off</x:v>
      </x:c>
    </x:row>
    <x:row r="2" ht="31.5" customHeight="1">
      <x:c r="A2" s="7" t="str">
        <x:v>Final manual readiness checklist for deciding whether IronDev can move from dogfood prototype to external alpha candidate.</x:v>
      </x:c>
    </x:row>
    <x:row r="4">
      <x:c r="A4" s="12" t="str">
        <x:v>Gate</x:v>
      </x:c>
      <x:c r="B4" s="12" t="str">
        <x:v>Owner</x:v>
      </x:c>
      <x:c r="C4" s="12" t="str">
        <x:v>Decision</x:v>
      </x:c>
      <x:c r="D4" s="12" t="str">
        <x:v>Evidence</x:v>
      </x:c>
      <x:c r="E4" s="12" t="str">
        <x:v>Date</x:v>
      </x:c>
      <x:c r="F4" s="12" t="str">
        <x:v>Notes</x:v>
      </x:c>
    </x:row>
    <x:row r="5">
      <x:c r="A5" s="19" t="str">
        <x:v>Project setup and profile</x:v>
      </x:c>
      <x:c r="B5" s="19" t="str"/>
      <x:c r="C5" s="19" t="str">
        <x:v>Pending</x:v>
      </x:c>
      <x:c r="D5" s="19" t="str"/>
      <x:c r="E5" s="20" t="str"/>
      <x:c r="F5" s="19" t="str"/>
    </x:row>
    <x:row r="6">
      <x:c r="A6" s="19" t="str">
        <x:v>Index visibility and stale blocking</x:v>
      </x:c>
      <x:c r="B6" s="19" t="str"/>
      <x:c r="C6" s="19" t="str">
        <x:v>Pending</x:v>
      </x:c>
      <x:c r="D6" s="19" t="str"/>
      <x:c r="E6" s="20" t="str"/>
      <x:c r="F6" s="19" t="str"/>
    </x:row>
    <x:row r="7">
      <x:c r="A7" s="19" t="str">
        <x:v>Chat-to-ticket reliability</x:v>
      </x:c>
      <x:c r="B7" s="19" t="str"/>
      <x:c r="C7" s="19" t="str">
        <x:v>Pending</x:v>
      </x:c>
      <x:c r="D7" s="19" t="str"/>
      <x:c r="E7" s="20" t="str"/>
      <x:c r="F7" s="19" t="str"/>
    </x:row>
    <x:row r="8">
      <x:c r="A8" s="19" t="str">
        <x:v>Build readiness accuracy</x:v>
      </x:c>
      <x:c r="B8" s="19" t="str"/>
      <x:c r="C8" s="19" t="str">
        <x:v>Pending</x:v>
      </x:c>
      <x:c r="D8" s="19" t="str"/>
      <x:c r="E8" s="20" t="str"/>
      <x:c r="F8" s="19" t="str"/>
    </x:row>
    <x:row r="9">
      <x:c r="A9" s="19" t="str">
        <x:v>Proposal validation and diff review</x:v>
      </x:c>
      <x:c r="B9" s="19" t="str"/>
      <x:c r="C9" s="19" t="str">
        <x:v>Pending</x:v>
      </x:c>
      <x:c r="D9" s="19" t="str"/>
      <x:c r="E9" s="20" t="str"/>
      <x:c r="F9" s="19" t="str"/>
    </x:row>
    <x:row r="10">
      <x:c r="A10" s="19" t="str">
        <x:v>Safe apply/build/test sandbox</x:v>
      </x:c>
      <x:c r="B10" s="19" t="str"/>
      <x:c r="C10" s="19" t="str">
        <x:v>Pending</x:v>
      </x:c>
      <x:c r="D10" s="19" t="str"/>
      <x:c r="E10" s="20" t="str"/>
      <x:c r="F10" s="19" t="str"/>
    </x:row>
    <x:row r="11">
      <x:c r="A11" s="19" t="str">
        <x:v>Traceability usable by tester</x:v>
      </x:c>
      <x:c r="B11" s="19" t="str"/>
      <x:c r="C11" s="19" t="str">
        <x:v>Pending</x:v>
      </x:c>
      <x:c r="D11" s="19" t="str"/>
      <x:c r="E11" s="20" t="str"/>
      <x:c r="F11" s="19" t="str"/>
    </x:row>
    <x:row r="12">
      <x:c r="A12" s="19" t="str">
        <x:v>Architecture reconciliation</x:v>
      </x:c>
      <x:c r="B12" s="19" t="str"/>
      <x:c r="C12" s="19" t="str">
        <x:v>Pending</x:v>
      </x:c>
      <x:c r="D12" s="19" t="str"/>
      <x:c r="E12" s="20" t="str"/>
      <x:c r="F12" s="19" t="str"/>
    </x:row>
    <x:row r="13">
      <x:c r="A13" s="19" t="str">
        <x:v>BookSeller external boundary</x:v>
      </x:c>
      <x:c r="B13" s="19" t="str"/>
      <x:c r="C13" s="19" t="str">
        <x:v>Pending</x:v>
      </x:c>
      <x:c r="D13" s="19" t="str"/>
      <x:c r="E13" s="20" t="str"/>
      <x:c r="F13" s="19" t="str"/>
    </x:row>
    <x:row r="14">
      <x:c r="A14" s="19" t="str">
        <x:v>External alpha go/no-go</x:v>
      </x:c>
      <x:c r="B14" s="19" t="str"/>
      <x:c r="C14" s="19" t="str">
        <x:v>Pending</x:v>
      </x:c>
      <x:c r="D14" s="19" t="str"/>
      <x:c r="E14" s="20" t="str"/>
      <x:c r="F14" s="19" t="str"/>
    </x:row>
  </x:sheetData>
  <x:mergeCells>
    <x:mergeCell ref="A1:L1"/>
    <x:mergeCell ref="A2:L2"/>
  </x:mergeCells>
  <x:conditionalFormatting sqref="C5:C14">
    <x:cfRule type="containsText" dxfId="16" priority="1" operator="containsText" text="Approved"/>
    <x:cfRule type="containsText" dxfId="17" priority="2" operator="containsText" text="Blocked"/>
    <x:cfRule type="containsText" dxfId="18" priority="3" operator="containsText" text="Pending"/>
  </x:conditionalFormatting>
  <x:dataValidations count="1">
    <x:dataValidation type="list" sqref="C5:C14">
      <x:formula1>"Pending,Approved,Blocked,Not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307d044403432d"/>
  </x:tableParts>
</x:worksheet>
</file>